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u\Documents\VS-Code-Repo\Neuer Ordner\ESP_Logger\evaluation excel\"/>
    </mc:Choice>
  </mc:AlternateContent>
  <xr:revisionPtr revIDLastSave="0" documentId="8_{7DF7F566-EDCC-40CE-98AD-495BCAC87F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tions" sheetId="1" r:id="rId1"/>
    <sheet name="Heatmap Day x Time" sheetId="2" r:id="rId2"/>
    <sheet name="Daily Summary" sheetId="3" r:id="rId3"/>
    <sheet name="Time-of-Day Distribution" sheetId="4" r:id="rId4"/>
    <sheet name="Weekday x Time" sheetId="5" r:id="rId5"/>
    <sheet name="RawData" sheetId="6" r:id="rId6"/>
  </sheets>
  <externalReferences>
    <externalReference r:id="rId7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4" l="1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Y5" i="5"/>
  <c r="D5" i="5"/>
  <c r="C5" i="5"/>
  <c r="B5" i="5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Y9" i="2" s="1"/>
  <c r="B9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Y6" i="2" s="1"/>
  <c r="B6" i="2"/>
  <c r="B5" i="2"/>
  <c r="AY10" i="2" l="1"/>
  <c r="AY8" i="2"/>
  <c r="AY7" i="2"/>
  <c r="AP11" i="5"/>
  <c r="AL11" i="5"/>
  <c r="AC11" i="5"/>
  <c r="W11" i="5"/>
  <c r="P11" i="5"/>
  <c r="H11" i="5"/>
  <c r="AT10" i="5"/>
  <c r="AH10" i="5"/>
  <c r="AA10" i="5"/>
  <c r="T10" i="5"/>
  <c r="N10" i="5"/>
  <c r="G10" i="5"/>
  <c r="AV9" i="5"/>
  <c r="AP9" i="5"/>
  <c r="AH9" i="5"/>
  <c r="AA9" i="5"/>
  <c r="S9" i="5"/>
  <c r="K9" i="5"/>
  <c r="E9" i="5"/>
  <c r="AU8" i="5"/>
  <c r="AN8" i="5"/>
  <c r="AF8" i="5"/>
  <c r="Z8" i="5"/>
  <c r="R8" i="5"/>
  <c r="L8" i="5"/>
  <c r="D8" i="5"/>
  <c r="AQ7" i="5"/>
  <c r="AH7" i="5"/>
  <c r="AA7" i="5"/>
  <c r="S7" i="5"/>
  <c r="L7" i="5"/>
  <c r="F7" i="5"/>
  <c r="AS6" i="5"/>
  <c r="AJ6" i="5"/>
  <c r="AB6" i="5"/>
  <c r="T6" i="5"/>
  <c r="K6" i="5"/>
  <c r="B6" i="5"/>
  <c r="AO5" i="5"/>
  <c r="AG5" i="5"/>
  <c r="X5" i="5"/>
  <c r="Q5" i="5"/>
  <c r="I5" i="5"/>
  <c r="B51" i="4"/>
  <c r="B48" i="4"/>
  <c r="B45" i="4"/>
  <c r="B43" i="4"/>
  <c r="B39" i="4"/>
  <c r="B36" i="4"/>
  <c r="B33" i="4"/>
  <c r="AU9" i="5"/>
  <c r="AN9" i="5"/>
  <c r="AF9" i="5"/>
  <c r="U9" i="5"/>
  <c r="L9" i="5"/>
  <c r="D9" i="5"/>
  <c r="E8" i="5"/>
  <c r="AS8" i="5"/>
  <c r="AI8" i="5"/>
  <c r="AA8" i="5"/>
  <c r="S8" i="5"/>
  <c r="J8" i="5"/>
  <c r="AV7" i="5"/>
  <c r="AL7" i="5"/>
  <c r="I7" i="5"/>
  <c r="AV6" i="5"/>
  <c r="AK6" i="5"/>
  <c r="Z6" i="5"/>
  <c r="P6" i="5"/>
  <c r="E6" i="5"/>
  <c r="AQ5" i="5"/>
  <c r="AD5" i="5"/>
  <c r="U5" i="5"/>
  <c r="L5" i="5"/>
  <c r="AR11" i="5"/>
  <c r="AM11" i="5"/>
  <c r="AF11" i="5"/>
  <c r="T11" i="5"/>
  <c r="L11" i="5"/>
  <c r="AO10" i="5"/>
  <c r="AI9" i="5"/>
  <c r="Y9" i="5"/>
  <c r="M9" i="5"/>
  <c r="AP8" i="5"/>
  <c r="AG8" i="5"/>
  <c r="X8" i="5"/>
  <c r="AU7" i="5"/>
  <c r="AN7" i="5"/>
  <c r="AE7" i="5"/>
  <c r="W7" i="5"/>
  <c r="O7" i="5"/>
  <c r="H7" i="5"/>
  <c r="AU6" i="5"/>
  <c r="AM6" i="5"/>
  <c r="AN5" i="2"/>
  <c r="AN91" i="2" s="1"/>
  <c r="AR5" i="2"/>
  <c r="AR91" i="2" s="1"/>
  <c r="AV5" i="2"/>
  <c r="AV91" i="2" s="1"/>
  <c r="S11" i="5"/>
  <c r="AM5" i="5"/>
  <c r="AW5" i="5"/>
  <c r="AD6" i="5"/>
  <c r="J6" i="5"/>
  <c r="S6" i="5"/>
  <c r="AC6" i="5"/>
  <c r="AL6" i="5"/>
  <c r="AT6" i="5"/>
  <c r="G7" i="5"/>
  <c r="N7" i="5"/>
  <c r="U7" i="5"/>
  <c r="AC7" i="5"/>
  <c r="AK7" i="5"/>
  <c r="AS7" i="5"/>
  <c r="U6" i="5"/>
  <c r="M8" i="5"/>
  <c r="U8" i="5"/>
  <c r="AB8" i="5"/>
  <c r="AH8" i="5"/>
  <c r="AO8" i="5"/>
  <c r="AV8" i="5"/>
  <c r="G9" i="5"/>
  <c r="O9" i="5"/>
  <c r="V9" i="5"/>
  <c r="AB9" i="5"/>
  <c r="AJ9" i="5"/>
  <c r="AQ9" i="5"/>
  <c r="B10" i="5"/>
  <c r="J10" i="5"/>
  <c r="P10" i="5"/>
  <c r="W10" i="5"/>
  <c r="AD10" i="5"/>
  <c r="AK10" i="5"/>
  <c r="AR10" i="5"/>
  <c r="C11" i="5"/>
  <c r="K11" i="5"/>
  <c r="Y11" i="5"/>
  <c r="AD11" i="5"/>
  <c r="AK11" i="5"/>
  <c r="AO11" i="5"/>
  <c r="AS11" i="5"/>
  <c r="AU11" i="5"/>
  <c r="J5" i="5"/>
  <c r="R5" i="5"/>
  <c r="Z5" i="5"/>
  <c r="AI5" i="5"/>
  <c r="AR5" i="5"/>
  <c r="D6" i="5"/>
  <c r="M6" i="5"/>
  <c r="V6" i="5"/>
  <c r="AE6" i="5"/>
  <c r="AN6" i="5"/>
  <c r="AW6" i="5"/>
  <c r="J7" i="5"/>
  <c r="Q7" i="5"/>
  <c r="Z7" i="5"/>
  <c r="AI7" i="5"/>
  <c r="AR7" i="5"/>
  <c r="H8" i="5"/>
  <c r="Q8" i="5"/>
  <c r="T9" i="5"/>
  <c r="AC9" i="5"/>
  <c r="AM9" i="5"/>
  <c r="AT9" i="5"/>
  <c r="F10" i="5"/>
  <c r="V10" i="5"/>
  <c r="AB10" i="5"/>
  <c r="AI10" i="5"/>
  <c r="AP10" i="5"/>
  <c r="AW10" i="5"/>
  <c r="I11" i="5"/>
  <c r="Q11" i="5"/>
  <c r="V11" i="5"/>
  <c r="AB11" i="5"/>
  <c r="AJ11" i="5"/>
  <c r="AN11" i="5"/>
  <c r="AQ11" i="5"/>
  <c r="AT11" i="5"/>
  <c r="AW11" i="5"/>
  <c r="L6" i="5"/>
  <c r="C6" i="5"/>
  <c r="AP5" i="5"/>
  <c r="AU5" i="2"/>
  <c r="AU91" i="2" s="1"/>
  <c r="B32" i="4"/>
  <c r="B35" i="4"/>
  <c r="B38" i="4"/>
  <c r="B41" i="4"/>
  <c r="B44" i="4"/>
  <c r="B46" i="4"/>
  <c r="B49" i="4"/>
  <c r="B50" i="4"/>
  <c r="H5" i="5"/>
  <c r="P5" i="5"/>
  <c r="AA5" i="5"/>
  <c r="AJ5" i="5"/>
  <c r="AS5" i="5"/>
  <c r="F6" i="5"/>
  <c r="N6" i="5"/>
  <c r="W6" i="5"/>
  <c r="AF6" i="5"/>
  <c r="AP6" i="5"/>
  <c r="D7" i="5"/>
  <c r="P7" i="5"/>
  <c r="X7" i="5"/>
  <c r="AF7" i="5"/>
  <c r="AO7" i="5"/>
  <c r="AW7" i="5"/>
  <c r="G8" i="5"/>
  <c r="O8" i="5"/>
  <c r="W8" i="5"/>
  <c r="AD8" i="5"/>
  <c r="AK8" i="5"/>
  <c r="AR8" i="5"/>
  <c r="B9" i="5"/>
  <c r="I9" i="5"/>
  <c r="Q9" i="5"/>
  <c r="X9" i="5"/>
  <c r="AE9" i="5"/>
  <c r="AK9" i="5"/>
  <c r="AR9" i="5"/>
  <c r="C10" i="5"/>
  <c r="K10" i="5"/>
  <c r="R10" i="5"/>
  <c r="X10" i="5"/>
  <c r="AC10" i="5"/>
  <c r="AJ10" i="5"/>
  <c r="AQ10" i="5"/>
  <c r="B11" i="5"/>
  <c r="J11" i="5"/>
  <c r="R11" i="5"/>
  <c r="Z11" i="5"/>
  <c r="AI11" i="5"/>
  <c r="D5" i="2"/>
  <c r="D91" i="2" s="1"/>
  <c r="G5" i="2"/>
  <c r="G91" i="2" s="1"/>
  <c r="K5" i="2"/>
  <c r="K91" i="2" s="1"/>
  <c r="N5" i="2"/>
  <c r="N91" i="2" s="1"/>
  <c r="Q5" i="2"/>
  <c r="Q91" i="2" s="1"/>
  <c r="T5" i="2"/>
  <c r="T91" i="2" s="1"/>
  <c r="W5" i="2"/>
  <c r="W91" i="2" s="1"/>
  <c r="Z5" i="2"/>
  <c r="Z91" i="2" s="1"/>
  <c r="AC5" i="2"/>
  <c r="AC91" i="2" s="1"/>
  <c r="AF5" i="2"/>
  <c r="AF91" i="2" s="1"/>
  <c r="AI5" i="2"/>
  <c r="AI91" i="2" s="1"/>
  <c r="AL5" i="2"/>
  <c r="AL91" i="2" s="1"/>
  <c r="AO5" i="2"/>
  <c r="AO91" i="2" s="1"/>
  <c r="AQ5" i="2"/>
  <c r="AQ91" i="2" s="1"/>
  <c r="AT5" i="2"/>
  <c r="AT91" i="2" s="1"/>
  <c r="AX5" i="2"/>
  <c r="AX91" i="2" s="1"/>
  <c r="E5" i="5"/>
  <c r="M5" i="5"/>
  <c r="T5" i="5"/>
  <c r="AC5" i="5"/>
  <c r="AL5" i="5"/>
  <c r="AU5" i="5"/>
  <c r="H6" i="5"/>
  <c r="Q6" i="5"/>
  <c r="Y6" i="5"/>
  <c r="AG6" i="5"/>
  <c r="AO6" i="5"/>
  <c r="B7" i="5"/>
  <c r="T7" i="5"/>
  <c r="AB7" i="5"/>
  <c r="AJ7" i="5"/>
  <c r="B8" i="5"/>
  <c r="K8" i="5"/>
  <c r="T8" i="5"/>
  <c r="AL8" i="5"/>
  <c r="F9" i="5"/>
  <c r="N9" i="5"/>
  <c r="E10" i="5"/>
  <c r="M10" i="5"/>
  <c r="AE10" i="5"/>
  <c r="AL10" i="5"/>
  <c r="D11" i="5"/>
  <c r="AE11" i="5"/>
  <c r="K5" i="5"/>
  <c r="S5" i="5"/>
  <c r="AB5" i="5"/>
  <c r="AK5" i="5"/>
  <c r="AT5" i="5"/>
  <c r="G6" i="5"/>
  <c r="O6" i="5"/>
  <c r="X6" i="5"/>
  <c r="AH6" i="5"/>
  <c r="AQ6" i="5"/>
  <c r="C7" i="5"/>
  <c r="K7" i="5"/>
  <c r="R7" i="5"/>
  <c r="Y7" i="5"/>
  <c r="AG7" i="5"/>
  <c r="AP7" i="5"/>
  <c r="C8" i="5"/>
  <c r="I8" i="5"/>
  <c r="P8" i="5"/>
  <c r="Y8" i="5"/>
  <c r="AE8" i="5"/>
  <c r="AJ5" i="2"/>
  <c r="AJ91" i="2" s="1"/>
  <c r="AM8" i="5"/>
  <c r="AT8" i="5"/>
  <c r="C9" i="5"/>
  <c r="J9" i="5"/>
  <c r="R9" i="5"/>
  <c r="Z9" i="5"/>
  <c r="AG9" i="5"/>
  <c r="AO9" i="5"/>
  <c r="AW9" i="5"/>
  <c r="H10" i="5"/>
  <c r="O10" i="5"/>
  <c r="U10" i="5"/>
  <c r="Z10" i="5"/>
  <c r="AG10" i="5"/>
  <c r="AN10" i="5"/>
  <c r="AV10" i="5"/>
  <c r="G11" i="5"/>
  <c r="O11" i="5"/>
  <c r="X11" i="5"/>
  <c r="AH11" i="5"/>
  <c r="C5" i="2"/>
  <c r="F5" i="2"/>
  <c r="F91" i="2" s="1"/>
  <c r="I5" i="2"/>
  <c r="I91" i="2" s="1"/>
  <c r="L5" i="2"/>
  <c r="L91" i="2" s="1"/>
  <c r="O5" i="2"/>
  <c r="O91" i="2" s="1"/>
  <c r="R5" i="2"/>
  <c r="R91" i="2" s="1"/>
  <c r="U5" i="2"/>
  <c r="U91" i="2" s="1"/>
  <c r="X5" i="2"/>
  <c r="X91" i="2" s="1"/>
  <c r="AA5" i="2"/>
  <c r="AA91" i="2" s="1"/>
  <c r="AD5" i="2"/>
  <c r="AD91" i="2" s="1"/>
  <c r="AG5" i="2"/>
  <c r="AG91" i="2" s="1"/>
  <c r="AM5" i="2"/>
  <c r="AM91" i="2" s="1"/>
  <c r="AP5" i="2"/>
  <c r="AP91" i="2" s="1"/>
  <c r="AS5" i="2"/>
  <c r="AS91" i="2" s="1"/>
  <c r="AW5" i="2"/>
  <c r="AW91" i="2" s="1"/>
  <c r="B34" i="4"/>
  <c r="B37" i="4"/>
  <c r="B40" i="4"/>
  <c r="B42" i="4"/>
  <c r="B47" i="4"/>
  <c r="G5" i="5"/>
  <c r="O5" i="5"/>
  <c r="W5" i="5"/>
  <c r="AE5" i="5"/>
  <c r="AN5" i="5"/>
  <c r="AV5" i="5"/>
  <c r="I6" i="5"/>
  <c r="R6" i="5"/>
  <c r="AA6" i="5"/>
  <c r="AI6" i="5"/>
  <c r="AR6" i="5"/>
  <c r="E7" i="5"/>
  <c r="M7" i="5"/>
  <c r="V7" i="5"/>
  <c r="AD7" i="5"/>
  <c r="AM7" i="5"/>
  <c r="AT7" i="5"/>
  <c r="F8" i="5"/>
  <c r="N8" i="5"/>
  <c r="V8" i="5"/>
  <c r="AC8" i="5"/>
  <c r="AJ8" i="5"/>
  <c r="AQ8" i="5"/>
  <c r="AW8" i="5"/>
  <c r="H9" i="5"/>
  <c r="P9" i="5"/>
  <c r="W9" i="5"/>
  <c r="AD9" i="5"/>
  <c r="AL9" i="5"/>
  <c r="AS9" i="5"/>
  <c r="D10" i="5"/>
  <c r="L10" i="5"/>
  <c r="S10" i="5"/>
  <c r="Y10" i="5"/>
  <c r="AF10" i="5"/>
  <c r="AM10" i="5"/>
  <c r="AU10" i="5"/>
  <c r="F11" i="5"/>
  <c r="M11" i="5"/>
  <c r="U11" i="5"/>
  <c r="AG11" i="5"/>
  <c r="E5" i="2"/>
  <c r="E91" i="2" s="1"/>
  <c r="H5" i="2"/>
  <c r="H91" i="2" s="1"/>
  <c r="J5" i="2"/>
  <c r="J91" i="2" s="1"/>
  <c r="M5" i="2"/>
  <c r="M91" i="2" s="1"/>
  <c r="P5" i="2"/>
  <c r="P91" i="2" s="1"/>
  <c r="S5" i="2"/>
  <c r="S91" i="2" s="1"/>
  <c r="V5" i="2"/>
  <c r="V91" i="2" s="1"/>
  <c r="Y5" i="2"/>
  <c r="Y91" i="2" s="1"/>
  <c r="AB5" i="2"/>
  <c r="AB91" i="2" s="1"/>
  <c r="AE5" i="2"/>
  <c r="AE91" i="2" s="1"/>
  <c r="AH5" i="2"/>
  <c r="AH91" i="2" s="1"/>
  <c r="AK5" i="2"/>
  <c r="AK91" i="2" s="1"/>
  <c r="AF5" i="5"/>
  <c r="V5" i="5"/>
  <c r="N5" i="5"/>
  <c r="F5" i="5"/>
  <c r="AH5" i="5"/>
  <c r="AV11" i="5"/>
  <c r="AA11" i="5"/>
  <c r="N11" i="5"/>
  <c r="E11" i="5"/>
  <c r="AS10" i="5"/>
  <c r="Q10" i="5"/>
  <c r="I10" i="5"/>
  <c r="B31" i="4"/>
  <c r="B30" i="4"/>
  <c r="B29" i="4"/>
  <c r="B28" i="4"/>
  <c r="B27" i="4"/>
  <c r="B26" i="4"/>
  <c r="B24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25" i="4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B83" i="3"/>
  <c r="C83" i="3"/>
  <c r="C82" i="3"/>
  <c r="B82" i="3"/>
  <c r="C81" i="3"/>
  <c r="B81" i="3"/>
  <c r="C80" i="3"/>
  <c r="B80" i="3"/>
  <c r="B79" i="3"/>
  <c r="C79" i="3"/>
  <c r="B78" i="3"/>
  <c r="C78" i="3"/>
  <c r="B77" i="3"/>
  <c r="C77" i="3"/>
  <c r="D77" i="3" s="1"/>
  <c r="E77" i="3"/>
  <c r="B76" i="3"/>
  <c r="C76" i="3"/>
  <c r="B75" i="3"/>
  <c r="C75" i="3"/>
  <c r="D75" i="3"/>
  <c r="E75" i="3"/>
  <c r="B74" i="3"/>
  <c r="C74" i="3"/>
  <c r="C73" i="3"/>
  <c r="E73" i="3"/>
  <c r="D73" i="3"/>
  <c r="B73" i="3"/>
  <c r="C72" i="3"/>
  <c r="B72" i="3"/>
  <c r="C71" i="3"/>
  <c r="E71" i="3" s="1"/>
  <c r="B71" i="3"/>
  <c r="D71" i="3"/>
  <c r="B70" i="3"/>
  <c r="C70" i="3"/>
  <c r="C69" i="3"/>
  <c r="B69" i="3"/>
  <c r="B68" i="3"/>
  <c r="C68" i="3"/>
  <c r="B67" i="3"/>
  <c r="C67" i="3"/>
  <c r="B66" i="3"/>
  <c r="C66" i="3"/>
  <c r="E66" i="3"/>
  <c r="D66" i="3"/>
  <c r="C65" i="3"/>
  <c r="D65" i="3" s="1"/>
  <c r="B65" i="3"/>
  <c r="E65" i="3"/>
  <c r="C64" i="3"/>
  <c r="B64" i="3"/>
  <c r="C63" i="3"/>
  <c r="B63" i="3"/>
  <c r="E63" i="3"/>
  <c r="D63" i="3"/>
  <c r="C62" i="3"/>
  <c r="B62" i="3"/>
  <c r="B61" i="3"/>
  <c r="C61" i="3"/>
  <c r="C60" i="3"/>
  <c r="B60" i="3"/>
  <c r="B59" i="3"/>
  <c r="C59" i="3"/>
  <c r="B58" i="3"/>
  <c r="C58" i="3"/>
  <c r="D58" i="3" s="1"/>
  <c r="E58" i="3"/>
  <c r="B57" i="3"/>
  <c r="C57" i="3"/>
  <c r="D57" i="3"/>
  <c r="E57" i="3"/>
  <c r="B56" i="3"/>
  <c r="C56" i="3"/>
  <c r="D56" i="3"/>
  <c r="E56" i="3"/>
  <c r="C55" i="3"/>
  <c r="D55" i="3" s="1"/>
  <c r="E55" i="3"/>
  <c r="B55" i="3"/>
  <c r="B54" i="3"/>
  <c r="C54" i="3"/>
  <c r="E54" i="3" s="1"/>
  <c r="D54" i="3"/>
  <c r="C53" i="3"/>
  <c r="B53" i="3"/>
  <c r="B52" i="3"/>
  <c r="C52" i="3"/>
  <c r="D52" i="3" s="1"/>
  <c r="E52" i="3"/>
  <c r="C51" i="3"/>
  <c r="D51" i="3"/>
  <c r="E51" i="3"/>
  <c r="B51" i="3"/>
  <c r="B50" i="3"/>
  <c r="C50" i="3"/>
  <c r="E50" i="3" s="1"/>
  <c r="D50" i="3"/>
  <c r="B49" i="3"/>
  <c r="C49" i="3"/>
  <c r="E49" i="3" s="1"/>
  <c r="D49" i="3"/>
  <c r="B48" i="3"/>
  <c r="C48" i="3"/>
  <c r="D48" i="3" s="1"/>
  <c r="E48" i="3"/>
  <c r="C47" i="3"/>
  <c r="D47" i="3"/>
  <c r="E47" i="3"/>
  <c r="B47" i="3"/>
  <c r="C46" i="3"/>
  <c r="B46" i="3"/>
  <c r="C45" i="3"/>
  <c r="B45" i="3"/>
  <c r="C44" i="3"/>
  <c r="B44" i="3"/>
  <c r="C43" i="3"/>
  <c r="B43" i="3"/>
  <c r="E43" i="3"/>
  <c r="D43" i="3"/>
  <c r="B42" i="3"/>
  <c r="C42" i="3"/>
  <c r="B41" i="3"/>
  <c r="C41" i="3"/>
  <c r="D41" i="3"/>
  <c r="E41" i="3"/>
  <c r="B40" i="3"/>
  <c r="C40" i="3"/>
  <c r="B39" i="3"/>
  <c r="C39" i="3"/>
  <c r="C38" i="3"/>
  <c r="B38" i="3"/>
  <c r="C37" i="3"/>
  <c r="B37" i="3"/>
  <c r="C36" i="3"/>
  <c r="B36" i="3"/>
  <c r="B35" i="3"/>
  <c r="C35" i="3"/>
  <c r="B34" i="3"/>
  <c r="C34" i="3"/>
  <c r="D34" i="3"/>
  <c r="E34" i="3"/>
  <c r="C33" i="3"/>
  <c r="D33" i="3"/>
  <c r="E33" i="3"/>
  <c r="B33" i="3"/>
  <c r="B32" i="3"/>
  <c r="C32" i="3"/>
  <c r="B31" i="3"/>
  <c r="C31" i="3"/>
  <c r="D31" i="3"/>
  <c r="E31" i="3"/>
  <c r="C30" i="3"/>
  <c r="B30" i="3"/>
  <c r="D30" i="3"/>
  <c r="E30" i="3"/>
  <c r="C29" i="3"/>
  <c r="B29" i="3"/>
  <c r="E29" i="3"/>
  <c r="D29" i="3"/>
  <c r="B28" i="3"/>
  <c r="C28" i="3"/>
  <c r="D28" i="3"/>
  <c r="E28" i="3"/>
  <c r="B27" i="3"/>
  <c r="C27" i="3"/>
  <c r="D27" i="3"/>
  <c r="E27" i="3"/>
  <c r="C26" i="3"/>
  <c r="B26" i="3"/>
  <c r="C25" i="3"/>
  <c r="B25" i="3"/>
  <c r="C24" i="3"/>
  <c r="B24" i="3"/>
  <c r="C23" i="3"/>
  <c r="B23" i="3"/>
  <c r="C22" i="3"/>
  <c r="B22" i="3"/>
  <c r="B21" i="3"/>
  <c r="C21" i="3"/>
  <c r="E21" i="3" s="1"/>
  <c r="D21" i="3"/>
  <c r="C20" i="3"/>
  <c r="D20" i="3"/>
  <c r="E20" i="3"/>
  <c r="B20" i="3"/>
  <c r="B19" i="3"/>
  <c r="C19" i="3"/>
  <c r="E19" i="3" s="1"/>
  <c r="D19" i="3"/>
  <c r="B18" i="3"/>
  <c r="C18" i="3"/>
  <c r="D18" i="3"/>
  <c r="E18" i="3"/>
  <c r="B17" i="3"/>
  <c r="C17" i="3"/>
  <c r="D17" i="3"/>
  <c r="E17" i="3"/>
  <c r="C16" i="3"/>
  <c r="B16" i="3"/>
  <c r="C15" i="3"/>
  <c r="B15" i="3"/>
  <c r="D15" i="3"/>
  <c r="E15" i="3"/>
  <c r="C14" i="3"/>
  <c r="B14" i="3"/>
  <c r="E14" i="3"/>
  <c r="D14" i="3"/>
  <c r="B13" i="3"/>
  <c r="C13" i="3"/>
  <c r="D13" i="3" s="1"/>
  <c r="E13" i="3"/>
  <c r="B12" i="3"/>
  <c r="C12" i="3"/>
  <c r="B11" i="3"/>
  <c r="C11" i="3"/>
  <c r="D11" i="3"/>
  <c r="E11" i="3"/>
  <c r="C10" i="3"/>
  <c r="B10" i="3"/>
  <c r="E10" i="3"/>
  <c r="D10" i="3"/>
  <c r="B9" i="3"/>
  <c r="C9" i="3"/>
  <c r="E9" i="3"/>
  <c r="D9" i="3"/>
  <c r="C8" i="3"/>
  <c r="D8" i="3"/>
  <c r="E8" i="3"/>
  <c r="B8" i="3"/>
  <c r="C7" i="3"/>
  <c r="B7" i="3"/>
  <c r="B6" i="3"/>
  <c r="C6" i="3"/>
  <c r="B5" i="3"/>
  <c r="C5" i="3"/>
  <c r="D5" i="3"/>
  <c r="E5" i="3"/>
  <c r="AX5" i="5" l="1"/>
  <c r="G12" i="5"/>
  <c r="O12" i="5"/>
  <c r="AE12" i="5"/>
  <c r="AN12" i="5"/>
  <c r="B12" i="5"/>
  <c r="D82" i="3"/>
  <c r="E82" i="3"/>
  <c r="E76" i="3"/>
  <c r="D76" i="3"/>
  <c r="E69" i="3"/>
  <c r="D69" i="3"/>
  <c r="E68" i="3"/>
  <c r="D68" i="3"/>
  <c r="D61" i="3"/>
  <c r="E61" i="3"/>
  <c r="D40" i="3"/>
  <c r="E40" i="3"/>
  <c r="D24" i="3"/>
  <c r="E24" i="3"/>
  <c r="E22" i="3"/>
  <c r="D22" i="3"/>
  <c r="D16" i="3"/>
  <c r="E16" i="3"/>
  <c r="J12" i="5"/>
  <c r="K12" i="5"/>
  <c r="AB12" i="5"/>
  <c r="AK12" i="5"/>
  <c r="AF12" i="5"/>
  <c r="V12" i="5"/>
  <c r="F12" i="5"/>
  <c r="AH12" i="5"/>
  <c r="C25" i="4"/>
  <c r="AY5" i="2"/>
  <c r="AY91" i="2" s="1"/>
  <c r="C91" i="2"/>
  <c r="C4" i="4"/>
  <c r="B52" i="4"/>
  <c r="L12" i="5"/>
  <c r="AW12" i="5"/>
  <c r="AX10" i="5"/>
  <c r="AI12" i="5"/>
  <c r="AP12" i="5"/>
  <c r="AJ12" i="5"/>
  <c r="AT12" i="5"/>
  <c r="C29" i="4"/>
  <c r="C21" i="4"/>
  <c r="C15" i="4"/>
  <c r="C11" i="4"/>
  <c r="C7" i="4"/>
  <c r="AX11" i="5"/>
  <c r="E12" i="5"/>
  <c r="M12" i="5"/>
  <c r="T12" i="5"/>
  <c r="AC12" i="5"/>
  <c r="AL12" i="5"/>
  <c r="AU12" i="5"/>
  <c r="Y12" i="5"/>
  <c r="C34" i="4"/>
  <c r="C30" i="4"/>
  <c r="C26" i="4"/>
  <c r="C22" i="4"/>
  <c r="C18" i="4"/>
  <c r="C13" i="4"/>
  <c r="C9" i="4"/>
  <c r="C42" i="4"/>
  <c r="W12" i="5"/>
  <c r="C24" i="4"/>
  <c r="C19" i="4"/>
  <c r="C14" i="4"/>
  <c r="C8" i="4"/>
  <c r="AO12" i="5"/>
  <c r="C51" i="4"/>
  <c r="C48" i="4"/>
  <c r="C45" i="4"/>
  <c r="C43" i="4"/>
  <c r="C39" i="4"/>
  <c r="C33" i="4"/>
  <c r="AQ12" i="5"/>
  <c r="AM12" i="5"/>
  <c r="D12" i="5"/>
  <c r="C12" i="5"/>
  <c r="AS12" i="5"/>
  <c r="N12" i="5"/>
  <c r="C27" i="4"/>
  <c r="C20" i="4"/>
  <c r="C16" i="4"/>
  <c r="C10" i="4"/>
  <c r="C6" i="4"/>
  <c r="AX8" i="5"/>
  <c r="C92" i="3"/>
  <c r="AG12" i="5"/>
  <c r="AX7" i="5"/>
  <c r="Q12" i="5"/>
  <c r="U12" i="5"/>
  <c r="C37" i="4"/>
  <c r="AV12" i="5"/>
  <c r="X12" i="5"/>
  <c r="C36" i="4"/>
  <c r="AD12" i="5"/>
  <c r="AR12" i="5"/>
  <c r="C35" i="4"/>
  <c r="C44" i="4"/>
  <c r="C50" i="4"/>
  <c r="P12" i="5"/>
  <c r="AX9" i="5"/>
  <c r="Z12" i="5"/>
  <c r="C46" i="4"/>
  <c r="AA12" i="5"/>
  <c r="C47" i="4"/>
  <c r="AX6" i="5"/>
  <c r="I12" i="5"/>
  <c r="R12" i="5"/>
  <c r="C32" i="4"/>
  <c r="C38" i="4"/>
  <c r="C41" i="4"/>
  <c r="C49" i="4"/>
  <c r="H12" i="5"/>
  <c r="S12" i="5"/>
  <c r="C40" i="4"/>
  <c r="C31" i="4"/>
  <c r="C28" i="4"/>
  <c r="C23" i="4"/>
  <c r="C17" i="4"/>
  <c r="C12" i="4"/>
  <c r="C5" i="4"/>
  <c r="D90" i="3"/>
  <c r="E90" i="3"/>
  <c r="D89" i="3"/>
  <c r="E89" i="3"/>
  <c r="D88" i="3"/>
  <c r="E88" i="3"/>
  <c r="E87" i="3"/>
  <c r="D87" i="3"/>
  <c r="D86" i="3"/>
  <c r="E86" i="3"/>
  <c r="D85" i="3"/>
  <c r="E85" i="3"/>
  <c r="D84" i="3"/>
  <c r="E84" i="3"/>
  <c r="E83" i="3"/>
  <c r="D83" i="3"/>
  <c r="D81" i="3"/>
  <c r="E81" i="3"/>
  <c r="E80" i="3"/>
  <c r="D80" i="3"/>
  <c r="E79" i="3"/>
  <c r="D79" i="3"/>
  <c r="D78" i="3"/>
  <c r="E78" i="3"/>
  <c r="E74" i="3"/>
  <c r="D74" i="3"/>
  <c r="E72" i="3"/>
  <c r="D72" i="3"/>
  <c r="D70" i="3"/>
  <c r="E70" i="3"/>
  <c r="E67" i="3"/>
  <c r="D67" i="3"/>
  <c r="D64" i="3"/>
  <c r="E64" i="3"/>
  <c r="E62" i="3"/>
  <c r="D62" i="3"/>
  <c r="D60" i="3"/>
  <c r="E60" i="3"/>
  <c r="D59" i="3"/>
  <c r="E59" i="3"/>
  <c r="E53" i="3"/>
  <c r="D53" i="3"/>
  <c r="D46" i="3"/>
  <c r="E46" i="3"/>
  <c r="D45" i="3"/>
  <c r="E45" i="3"/>
  <c r="D44" i="3"/>
  <c r="E44" i="3"/>
  <c r="D42" i="3"/>
  <c r="E42" i="3"/>
  <c r="D39" i="3"/>
  <c r="E39" i="3"/>
  <c r="E38" i="3"/>
  <c r="D38" i="3"/>
  <c r="D37" i="3"/>
  <c r="E37" i="3"/>
  <c r="E36" i="3"/>
  <c r="D36" i="3"/>
  <c r="D35" i="3"/>
  <c r="E35" i="3"/>
  <c r="D32" i="3"/>
  <c r="E32" i="3"/>
  <c r="E26" i="3"/>
  <c r="D26" i="3"/>
  <c r="D25" i="3"/>
  <c r="E25" i="3"/>
  <c r="D23" i="3"/>
  <c r="E23" i="3"/>
  <c r="D12" i="3"/>
  <c r="E12" i="3"/>
  <c r="D7" i="3"/>
  <c r="E7" i="3"/>
  <c r="E6" i="3"/>
  <c r="D6" i="3"/>
  <c r="AX12" i="5" l="1"/>
  <c r="C52" i="4"/>
</calcChain>
</file>

<file path=xl/sharedStrings.xml><?xml version="1.0" encoding="utf-8"?>
<sst xmlns="http://schemas.openxmlformats.org/spreadsheetml/2006/main" count="210" uniqueCount="154">
  <si>
    <t>Instructions — Event Frequency Analysis</t>
  </si>
  <si>
    <t>1) LOGGING EVENTS</t>
  </si>
  <si>
    <t xml:space="preserve">   Just append a new row at the bottom of the "RawData" sheet.</t>
  </si>
  <si>
    <t xml:space="preserve">   Date as DD.MM.YYYY (e.g. 09.05.2026), Time as HH:MM (e.g. 14:30).</t>
  </si>
  <si>
    <t xml:space="preserve">   The "Slot" column fills in automatically (half-hour slot 0 to 47).</t>
  </si>
  <si>
    <t xml:space="preserve">   The "Counter" column is optional and is not used in the analysis.</t>
  </si>
  <si>
    <t xml:space="preserve">   Each row counts as 1 event.</t>
  </si>
  <si>
    <t>2) ADDING A NEW DAY TO THE HEATMAP</t>
  </si>
  <si>
    <t xml:space="preserve">   In the "Heatmap Day x Time" sheet, 80 reserve rows with ready formulas</t>
  </si>
  <si>
    <t xml:space="preserve">   are prepared below the existing data.</t>
  </si>
  <si>
    <t xml:space="preserve">   Just enter the date in column A — all 48 half-hour columns, the daily total</t>
  </si>
  <si>
    <t xml:space="preserve">   and the weekday calculate automatically.</t>
  </si>
  <si>
    <t>3) RESOLUTION</t>
  </si>
  <si>
    <t xml:space="preserve">   All analyses use a 30-minute resolution over 24 hours,</t>
  </si>
  <si>
    <t xml:space="preserve">   i.e. 48 slots: 00:00, 00:30, 01:00, 01:30, ..., 23:00, 23:30.</t>
  </si>
  <si>
    <t>4) AUTOMATIC ANALYSES</t>
  </si>
  <si>
    <t xml:space="preserve">   - "Heatmap Day x Time": Date × 30-min slot with colour scale</t>
  </si>
  <si>
    <t xml:space="preserve">   - "Daily Summary": Events per day, with first / last time of day</t>
  </si>
  <si>
    <t xml:space="preserve">   - "Time-of-Day Distribution": Events aggregated by time of day</t>
  </si>
  <si>
    <t xml:space="preserve">   - "Weekday x Time": Pattern across weekdays</t>
  </si>
  <si>
    <t>5) NOTES</t>
  </si>
  <si>
    <t xml:space="preserve">   The analyses use COUNTIFS and SUMPRODUCT against the "RawData" table.</t>
  </si>
  <si>
    <t xml:space="preserve">   As long as you append data as new rows at the END of the RawData table,</t>
  </si>
  <si>
    <t xml:space="preserve">   Excel will extend the table automatically and all formulas will work.</t>
  </si>
  <si>
    <t xml:space="preserve">   If the table does not auto-extend: place the cursor in the last table row</t>
  </si>
  <si>
    <t xml:space="preserve">   and press Tab — this creates a new table row.</t>
  </si>
  <si>
    <t>6) RENAMING</t>
  </si>
  <si>
    <t xml:space="preserve">   "Event" is used as a generic term — replace it in your own labels with</t>
  </si>
  <si>
    <t xml:space="preserve">   whatever you are counting (visitors, button presses, errors, sales, etc.).</t>
  </si>
  <si>
    <t>Event Heatmap: Day × Time (30-minute resolution)</t>
  </si>
  <si>
    <t>Updates automatically from the RawData table. Colour scale: light = few, dark green = many.</t>
  </si>
  <si>
    <t>Date</t>
  </si>
  <si>
    <t>Weekday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</si>
  <si>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</si>
  <si>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</si>
  <si>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</si>
  <si>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</si>
  <si>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</si>
  <si>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</si>
  <si>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</si>
  <si>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</si>
  <si>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</si>
  <si>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</si>
  <si>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</si>
  <si>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</si>
  <si>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</si>
  <si>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</si>
  <si>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</si>
  <si>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</si>
  <si>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</si>
  <si>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</si>
  <si>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</si>
  <si>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</si>
  <si>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</si>
  <si>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</si>
  <si>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</si>
  <si>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</si>
  <si>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</si>
  <si>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</si>
  <si>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</si>
  <si>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</si>
  <si>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</si>
  <si>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</si>
  <si>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</si>
  <si>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</si>
  <si>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</si>
  <si>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</si>
  <si>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</si>
  <si>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</si>
  <si>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</si>
  <si>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</si>
  <si>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</si>
  <si>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</si>
  <si>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</si>
  <si>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</si>
  <si>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</si>
  <si>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</si>
  <si>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</si>
  <si>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</si>
  <si>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</si>
  <si>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</si>
  <si>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Daily Total</t>
  </si>
  <si>
    <t>Slot Total</t>
  </si>
  <si>
    <t>Events per Day</t>
  </si>
  <si>
    <t>Refers to column A of the heatmap. Add new days there.</t>
  </si>
  <si>
    <t>Events</t>
  </si>
  <si>
    <t>First Time</t>
  </si>
  <si>
    <t>Last Time</t>
  </si>
  <si>
    <t>Total</t>
  </si>
  <si>
    <t>Events by time of day (00:00 - 23:30, 30-minute resolution)</t>
  </si>
  <si>
    <t>Time</t>
  </si>
  <si>
    <t>Events total</t>
  </si>
  <si>
    <t>Share</t>
  </si>
  <si>
    <t>00:00 - 00:29</t>
  </si>
  <si>
    <t>00:30 - 00:59</t>
  </si>
  <si>
    <t>01:00 - 01:29</t>
  </si>
  <si>
    <t>01:30 - 01:59</t>
  </si>
  <si>
    <t>02:00 - 02:29</t>
  </si>
  <si>
    <t>02:30 - 02:59</t>
  </si>
  <si>
    <t>03:00 - 03:29</t>
  </si>
  <si>
    <t>03:30 - 03:59</t>
  </si>
  <si>
    <t>04:00 - 04:29</t>
  </si>
  <si>
    <t>04:30 - 04:59</t>
  </si>
  <si>
    <t>05:00 - 05:29</t>
  </si>
  <si>
    <t>05:30 - 05:59</t>
  </si>
  <si>
    <t>06:00 - 06:29</t>
  </si>
  <si>
    <t>06:30 - 06:59</t>
  </si>
  <si>
    <t>07:00 - 07:29</t>
  </si>
  <si>
    <t>07:30 - 07:59</t>
  </si>
  <si>
    <t>08:00 - 08:29</t>
  </si>
  <si>
    <t>08:30 - 08:59</t>
  </si>
  <si>
    <t>09:00 - 09:29</t>
  </si>
  <si>
    <t>09:30 - 09:59</t>
  </si>
  <si>
    <t>10:00 - 10:29</t>
  </si>
  <si>
    <t>10:30 - 10:59</t>
  </si>
  <si>
    <t>11:00 - 11:29</t>
  </si>
  <si>
    <t>11:30 - 11:59</t>
  </si>
  <si>
    <t>12:00 - 12:29</t>
  </si>
  <si>
    <t>12:30 - 12:59</t>
  </si>
  <si>
    <t>13:00 - 13:29</t>
  </si>
  <si>
    <t>13:30 - 13:59</t>
  </si>
  <si>
    <t>14:00 - 14:29</t>
  </si>
  <si>
    <t>14:30 - 14:59</t>
  </si>
  <si>
    <t>15:00 - 15:29</t>
  </si>
  <si>
    <t>15:30 - 15:59</t>
  </si>
  <si>
    <t>16:00 - 16:29</t>
  </si>
  <si>
    <t>16:30 - 16:59</t>
  </si>
  <si>
    <t>17:00 - 17:29</t>
  </si>
  <si>
    <t>17:30 - 17:59</t>
  </si>
  <si>
    <t>18:00 - 18:29</t>
  </si>
  <si>
    <t>18:30 - 18:59</t>
  </si>
  <si>
    <t>19:00 - 19:29</t>
  </si>
  <si>
    <t>19:30 - 19:59</t>
  </si>
  <si>
    <t>20:00 - 20:29</t>
  </si>
  <si>
    <t>20:30 - 20:59</t>
  </si>
  <si>
    <t>21:00 - 21:29</t>
  </si>
  <si>
    <t>21:30 - 21:59</t>
  </si>
  <si>
    <t>22:00 - 22:29</t>
  </si>
  <si>
    <t>22:30 - 22:59</t>
  </si>
  <si>
    <t>23:00 - 23:29</t>
  </si>
  <si>
    <t>23:30 - 23:59</t>
  </si>
  <si>
    <t>Events: Weekday × Time (30-minute resolution)</t>
  </si>
  <si>
    <t>Aggregated over all logged days. Updates automatically.</t>
  </si>
  <si>
    <t>Monday</t>
  </si>
  <si>
    <t>Tuesday</t>
  </si>
  <si>
    <t>Wednesday</t>
  </si>
  <si>
    <t>Thursday</t>
  </si>
  <si>
    <t>Friday</t>
  </si>
  <si>
    <t>Saturday</t>
  </si>
  <si>
    <t>Sunday</t>
  </si>
  <si>
    <t>Raw Data — just append new rows at the bottom</t>
  </si>
  <si>
    <t>Each row = 1 event. Date as DD.MM.YYYY, Time as HH:MM. The "Slot" column fills automatically (0=00:00, 1=00:30, ..., 47=23:30).</t>
  </si>
  <si>
    <t>Slot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</si>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</sst>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h:mm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1"/>
      <name val="Arial"/>
      <charset val="1"/>
    </font>
    <font>
      <b/>
      <sz val="11"/>
      <color rgb="FF1F3864"/>
      <name val="Arial"/>
      <charset val="1"/>
    </font>
    <font>
      <sz val="11"/>
      <color theme="1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164" fontId="4" fillId="0" borderId="0" xfId="0" applyNumberFormat="1" applyFont="1"/>
    <xf numFmtId="0" fontId="7" fillId="3" borderId="0" xfId="0" applyFont="1" applyFill="1"/>
    <xf numFmtId="0" fontId="4" fillId="3" borderId="0" xfId="0" applyFont="1" applyFill="1"/>
    <xf numFmtId="165" fontId="4" fillId="0" borderId="0" xfId="0" applyNumberFormat="1" applyFont="1"/>
    <xf numFmtId="166" fontId="4" fillId="0" borderId="0" xfId="0" applyNumberFormat="1" applyFont="1"/>
    <xf numFmtId="166" fontId="7" fillId="3" borderId="0" xfId="0" applyNumberFormat="1" applyFont="1" applyFill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Events by time of day (00:00 - 23:30, 30-minute resolution)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'Time-of-Day Distribution'!$B$3</c:f>
              <c:strCache>
                <c:ptCount val="1"/>
                <c:pt idx="0">
                  <c:v>Events total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E0C4A88-8D55-4391-8F23-759B14227683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7E2-45D1-95D1-46E7BE77E6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F026CE-BE34-4CA9-BCA5-01F4C4569C2D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E2-45D1-95D1-46E7BE77E6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589743-9F1A-4E17-9488-BC9E36CCD536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7E2-45D1-95D1-46E7BE77E6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9F70D8-7CD2-4E3A-BCBE-C0D36C3DA21F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E2-45D1-95D1-46E7BE77E6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B786C3-BC88-4E5F-83E7-C797A7BD5C7E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7E2-45D1-95D1-46E7BE77E6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C61A0B-583A-4CED-A87D-B28336D0E036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E2-45D1-95D1-46E7BE77E6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FDEF6F-6AB9-4B24-8841-3F4206D2ECE0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E2-45D1-95D1-46E7BE77E6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5F1869E-7209-4B9B-8AA8-DD32AF63B112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E2-45D1-95D1-46E7BE77E6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883ECA-6DC0-411E-B91A-A375D4A6F4C6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E2-45D1-95D1-46E7BE77E6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2D307C-F14B-4DE6-A8DA-164B8F6706CA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7E2-45D1-95D1-46E7BE77E6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E41D16B-C617-4610-AB3B-2638F855640C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E2-45D1-95D1-46E7BE77E6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EF71B02-AB17-4E34-8BE9-E37AA83C04F7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E2-45D1-95D1-46E7BE77E6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C9657E-246F-4F25-B766-EF818E9DB54C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E2-45D1-95D1-46E7BE77E6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044755-9BC6-4E2B-A79E-54E8FEDF6509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7E2-45D1-95D1-46E7BE77E6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C70393F-76E4-40EE-A5FD-2470CD930240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E2-45D1-95D1-46E7BE77E6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AEE6B21-A0FA-4099-8EEB-B5F29496D22F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E2-45D1-95D1-46E7BE77E62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7C2935A-6D8F-4E81-B06C-25C7D2D2E0AF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E2-45D1-95D1-46E7BE77E6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A9453F6-312B-4EDA-8DF8-9CB76323B521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7E2-45D1-95D1-46E7BE77E6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A777988-C725-4750-8DC0-9EE9A1332C89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7E2-45D1-95D1-46E7BE77E6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FAB1167-8BBB-4BB5-8F0C-BE944F2E9454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7E2-45D1-95D1-46E7BE77E6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DF9E25C-60A9-482D-A626-2B45E5B6A4C8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7E2-45D1-95D1-46E7BE77E62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9DF5C3F-C953-48D1-870F-A5F255315A21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7E2-45D1-95D1-46E7BE77E62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B4FC975-3370-494C-BB76-BDBB9CA9DDC2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7E2-45D1-95D1-46E7BE77E6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49B5F6-A345-4537-86EC-FB9798857BE9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7E2-45D1-95D1-46E7BE77E62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52ECCFD-117B-4C4E-85A3-36DD0C7DDCAD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7E2-45D1-95D1-46E7BE77E62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68282F1-2F2A-4346-87B0-13A71CDA3C4A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7E2-45D1-95D1-46E7BE77E62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EB6B8E0-D69F-4718-9462-219B215A541B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7E2-45D1-95D1-46E7BE77E62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72D1F7A-2E0A-443A-B051-3B4808448E5A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7E2-45D1-95D1-46E7BE77E62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46D696D-19B5-4A40-B876-94A064B6E105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7E2-45D1-95D1-46E7BE77E62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FF8FAC4-9FC4-40EA-A38D-FB093CC00223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7E2-45D1-95D1-46E7BE77E62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425DA25-8216-4EBD-9CC1-6C22CBF848FC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7E2-45D1-95D1-46E7BE77E62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9781F05-BDE7-4418-B114-A8BAF307E3E3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7E2-45D1-95D1-46E7BE77E62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17C0605-1104-45B8-93C4-5C102B7123DB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7E2-45D1-95D1-46E7BE77E62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9842097-7DF6-44E3-9E30-F163E5AC76AB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7E2-45D1-95D1-46E7BE77E62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A00983E-D5E5-45D0-A6AB-D60D99A05A22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7E2-45D1-95D1-46E7BE77E62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0C1322C-800F-43A1-97B9-D049746B13C0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7E2-45D1-95D1-46E7BE77E62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991884D-36F2-4F1E-AE5D-B16BDA19B1F5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7E2-45D1-95D1-46E7BE77E62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33277BC-4C0C-4D45-B2AC-F991009E0BC4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7E2-45D1-95D1-46E7BE77E62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C864230-0F5B-491B-9D6F-617BB406FAD7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7E2-45D1-95D1-46E7BE77E62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4647DFC-AF3D-447B-B7F5-284386570A31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7E2-45D1-95D1-46E7BE77E62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943486B-2F1D-444A-B8BC-929959332032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7E2-45D1-95D1-46E7BE77E62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CFF27726-6DB3-41E9-9F5C-C42DE20B3431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7E2-45D1-95D1-46E7BE77E62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EB7F781-CDF1-47F4-9C77-2A80359C770B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7E2-45D1-95D1-46E7BE77E62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E94C0E45-8298-4EE1-8CD2-5656D3FCDAF4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7E2-45D1-95D1-46E7BE77E62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78705D6-C2D9-4901-AA7A-7512C9B0F540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7E2-45D1-95D1-46E7BE77E62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4D1B639-F0FD-41BB-A1DD-9F6340147335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7E2-45D1-95D1-46E7BE77E62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35BCB20A-6129-424A-AF76-F68C32FF0BE7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7E2-45D1-95D1-46E7BE77E62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FCDD0FC-9C86-46BA-A751-A20607B481AE}" type="CELLRANGE">
                      <a:rPr lang="en-GB"/>
                      <a:pPr/>
                      <a:t>[ZELLBEREICH]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7E2-45D1-95D1-46E7BE77E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cat>
            <c:strRef>
              <c:f>'Time-of-Day Distribution'!$A$4:$A$51</c:f>
              <c:strCache>
                <c:ptCount val="48"/>
                <c:pt idx="0">
                  <c:v>00:00 - 00:29</c:v>
                </c:pt>
                <c:pt idx="1">
                  <c:v>00:30 - 00:59</c:v>
                </c:pt>
                <c:pt idx="2">
                  <c:v>01:00 - 01:29</c:v>
                </c:pt>
                <c:pt idx="3">
                  <c:v>01:30 - 01:59</c:v>
                </c:pt>
                <c:pt idx="4">
                  <c:v>02:00 - 02:29</c:v>
                </c:pt>
                <c:pt idx="5">
                  <c:v>02:30 - 02:59</c:v>
                </c:pt>
                <c:pt idx="6">
                  <c:v>03:00 - 03:29</c:v>
                </c:pt>
                <c:pt idx="7">
                  <c:v>03:30 - 03:59</c:v>
                </c:pt>
                <c:pt idx="8">
                  <c:v>04:00 - 04:29</c:v>
                </c:pt>
                <c:pt idx="9">
                  <c:v>04:30 - 04:59</c:v>
                </c:pt>
                <c:pt idx="10">
                  <c:v>05:00 - 05:29</c:v>
                </c:pt>
                <c:pt idx="11">
                  <c:v>05:30 - 05:59</c:v>
                </c:pt>
                <c:pt idx="12">
                  <c:v>06:00 - 06:29</c:v>
                </c:pt>
                <c:pt idx="13">
                  <c:v>06:30 - 06:59</c:v>
                </c:pt>
                <c:pt idx="14">
                  <c:v>07:00 - 07:29</c:v>
                </c:pt>
                <c:pt idx="15">
                  <c:v>07:30 - 07:59</c:v>
                </c:pt>
                <c:pt idx="16">
                  <c:v>08:00 - 08:29</c:v>
                </c:pt>
                <c:pt idx="17">
                  <c:v>08:30 - 08:59</c:v>
                </c:pt>
                <c:pt idx="18">
                  <c:v>09:00 - 09:29</c:v>
                </c:pt>
                <c:pt idx="19">
                  <c:v>09:30 - 09:59</c:v>
                </c:pt>
                <c:pt idx="20">
                  <c:v>10:00 - 10:29</c:v>
                </c:pt>
                <c:pt idx="21">
                  <c:v>10:30 - 10:59</c:v>
                </c:pt>
                <c:pt idx="22">
                  <c:v>11:00 - 11:29</c:v>
                </c:pt>
                <c:pt idx="23">
                  <c:v>11:30 - 11:59</c:v>
                </c:pt>
                <c:pt idx="24">
                  <c:v>12:00 - 12:29</c:v>
                </c:pt>
                <c:pt idx="25">
                  <c:v>12:30 - 12:59</c:v>
                </c:pt>
                <c:pt idx="26">
                  <c:v>13:00 - 13:29</c:v>
                </c:pt>
                <c:pt idx="27">
                  <c:v>13:30 - 13:59</c:v>
                </c:pt>
                <c:pt idx="28">
                  <c:v>14:00 - 14:29</c:v>
                </c:pt>
                <c:pt idx="29">
                  <c:v>14:30 - 14:59</c:v>
                </c:pt>
                <c:pt idx="30">
                  <c:v>15:00 - 15:29</c:v>
                </c:pt>
                <c:pt idx="31">
                  <c:v>15:30 - 15:59</c:v>
                </c:pt>
                <c:pt idx="32">
                  <c:v>16:00 - 16:29</c:v>
                </c:pt>
                <c:pt idx="33">
                  <c:v>16:30 - 16:59</c:v>
                </c:pt>
                <c:pt idx="34">
                  <c:v>17:00 - 17:29</c:v>
                </c:pt>
                <c:pt idx="35">
                  <c:v>17:30 - 17:59</c:v>
                </c:pt>
                <c:pt idx="36">
                  <c:v>18:00 - 18:29</c:v>
                </c:pt>
                <c:pt idx="37">
                  <c:v>18:30 - 18:59</c:v>
                </c:pt>
                <c:pt idx="38">
                  <c:v>19:00 - 19:29</c:v>
                </c:pt>
                <c:pt idx="39">
                  <c:v>19:30 - 19:59</c:v>
                </c:pt>
                <c:pt idx="40">
                  <c:v>20:00 - 20:29</c:v>
                </c:pt>
                <c:pt idx="41">
                  <c:v>20:30 - 20:59</c:v>
                </c:pt>
                <c:pt idx="42">
                  <c:v>21:00 - 21:29</c:v>
                </c:pt>
                <c:pt idx="43">
                  <c:v>21:30 - 21:59</c:v>
                </c:pt>
                <c:pt idx="44">
                  <c:v>22:00 - 22:29</c:v>
                </c:pt>
                <c:pt idx="45">
                  <c:v>22:30 - 22:59</c:v>
                </c:pt>
                <c:pt idx="46">
                  <c:v>23:00 - 23:29</c:v>
                </c:pt>
                <c:pt idx="47">
                  <c:v>23:30 - 23:59</c:v>
                </c:pt>
              </c:strCache>
            </c:strRef>
          </c:cat>
          <c:val>
            <c:numRef>
              <c:f>'Time-of-Day Distribution'!$B$4:$B$51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'Time-of-Day Distribution'!$B$4:$B$51</c15:f>
                <c15:dlblRangeCache>
                  <c:ptCount val="4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6</c:v>
                  </c:pt>
                  <c:pt idx="20">
                    <c:v>3</c:v>
                  </c:pt>
                  <c:pt idx="21">
                    <c:v>1</c:v>
                  </c:pt>
                  <c:pt idx="22">
                    <c:v>2</c:v>
                  </c:pt>
                  <c:pt idx="23">
                    <c:v>2</c:v>
                  </c:pt>
                  <c:pt idx="24">
                    <c:v>0</c:v>
                  </c:pt>
                  <c:pt idx="25">
                    <c:v>3</c:v>
                  </c:pt>
                  <c:pt idx="26">
                    <c:v>1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5</c:v>
                  </c:pt>
                  <c:pt idx="32">
                    <c:v>1</c:v>
                  </c:pt>
                  <c:pt idx="33">
                    <c:v>2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07E2-45D1-95D1-46E7BE77E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36206"/>
        <c:axId val="89543371"/>
      </c:barChart>
      <c:catAx>
        <c:axId val="60436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9543371"/>
        <c:crosses val="autoZero"/>
        <c:auto val="1"/>
        <c:lblAlgn val="ctr"/>
        <c:lblOffset val="100"/>
        <c:noMultiLvlLbl val="0"/>
      </c:catAx>
      <c:valAx>
        <c:axId val="89543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Events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04362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542925</xdr:colOff>
      <xdr:row>4</xdr:row>
      <xdr:rowOff>0</xdr:rowOff>
    </xdr:from>
    <xdr:to>
      <xdr:col>19</xdr:col>
      <xdr:colOff>40740</xdr:colOff>
      <xdr:row>22</xdr:row>
      <xdr:rowOff>170700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4656C-1094-410A-AD7F-6F52A9E96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0950-Orga\1100-Besucherzahlen\Besucher_Auswertung_Uhrzeiten.xlsx" TargetMode="External"/><Relationship Id="rId1" Type="http://schemas.openxmlformats.org/officeDocument/2006/relationships/externalLinkPath" Target="file:///X:\0950-Orga\1100-Besucherzahlen\Besucher_Auswertung_Uhrzeit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leitung"/>
      <sheetName val="Heatmap Tag x Uhrzeit"/>
      <sheetName val="Rohdaten"/>
      <sheetName val="Tagesübersicht"/>
      <sheetName val="Stundenverteilung"/>
      <sheetName val="Wochentag x Uhrzeit"/>
    </sheetNames>
    <sheetDataSet>
      <sheetData sheetId="0"/>
      <sheetData sheetId="1"/>
      <sheetData sheetId="2"/>
      <sheetData sheetId="3"/>
      <sheetData sheetId="4">
        <row r="3">
          <cell r="B3" t="str">
            <v>Besucher gesamt</v>
          </cell>
        </row>
        <row r="4">
          <cell r="A4" t="str">
            <v>00:00 - 00:29</v>
          </cell>
          <cell r="B4">
            <v>0</v>
          </cell>
        </row>
        <row r="5">
          <cell r="A5" t="str">
            <v>00:30 - 00:59</v>
          </cell>
          <cell r="B5">
            <v>0</v>
          </cell>
        </row>
        <row r="6">
          <cell r="A6" t="str">
            <v>01:00 - 01:29</v>
          </cell>
          <cell r="B6">
            <v>0</v>
          </cell>
        </row>
        <row r="7">
          <cell r="A7" t="str">
            <v>01:30 - 01:59</v>
          </cell>
          <cell r="B7">
            <v>0</v>
          </cell>
        </row>
        <row r="8">
          <cell r="A8" t="str">
            <v>02:00 - 02:29</v>
          </cell>
          <cell r="B8">
            <v>0</v>
          </cell>
        </row>
        <row r="9">
          <cell r="A9" t="str">
            <v>02:30 - 02:59</v>
          </cell>
          <cell r="B9">
            <v>0</v>
          </cell>
        </row>
        <row r="10">
          <cell r="A10" t="str">
            <v>03:00 - 03:29</v>
          </cell>
          <cell r="B10">
            <v>0</v>
          </cell>
        </row>
        <row r="11">
          <cell r="A11" t="str">
            <v>03:30 - 03:59</v>
          </cell>
          <cell r="B11">
            <v>0</v>
          </cell>
        </row>
        <row r="12">
          <cell r="A12" t="str">
            <v>04:00 - 04:29</v>
          </cell>
          <cell r="B12">
            <v>0</v>
          </cell>
        </row>
        <row r="13">
          <cell r="A13" t="str">
            <v>04:30 - 04:59</v>
          </cell>
          <cell r="B13">
            <v>0</v>
          </cell>
        </row>
        <row r="14">
          <cell r="A14" t="str">
            <v>05:00 - 05:29</v>
          </cell>
          <cell r="B14">
            <v>0</v>
          </cell>
        </row>
        <row r="15">
          <cell r="A15" t="str">
            <v>05:30 - 05:59</v>
          </cell>
          <cell r="B15">
            <v>0</v>
          </cell>
        </row>
        <row r="16">
          <cell r="A16" t="str">
            <v>06:00 - 06:29</v>
          </cell>
          <cell r="B16">
            <v>0</v>
          </cell>
        </row>
        <row r="17">
          <cell r="A17" t="str">
            <v>06:30 - 06:59</v>
          </cell>
          <cell r="B17">
            <v>0</v>
          </cell>
        </row>
        <row r="18">
          <cell r="A18" t="str">
            <v>07:00 - 07:29</v>
          </cell>
          <cell r="B18">
            <v>0</v>
          </cell>
        </row>
        <row r="19">
          <cell r="A19" t="str">
            <v>07:30 - 07:59</v>
          </cell>
          <cell r="B19">
            <v>0</v>
          </cell>
        </row>
        <row r="20">
          <cell r="A20" t="str">
            <v>08:00 - 08:29</v>
          </cell>
          <cell r="B20">
            <v>0</v>
          </cell>
        </row>
        <row r="21">
          <cell r="A21" t="str">
            <v>08:30 - 08:59</v>
          </cell>
          <cell r="B21">
            <v>0</v>
          </cell>
        </row>
        <row r="22">
          <cell r="A22" t="str">
            <v>09:00 - 09:29</v>
          </cell>
          <cell r="B22">
            <v>0</v>
          </cell>
        </row>
        <row r="23">
          <cell r="A23" t="str">
            <v>09:30 - 09:59</v>
          </cell>
          <cell r="B23">
            <v>6</v>
          </cell>
        </row>
        <row r="24">
          <cell r="A24" t="str">
            <v>10:00 - 10:29</v>
          </cell>
          <cell r="B24">
            <v>3</v>
          </cell>
        </row>
        <row r="25">
          <cell r="A25" t="str">
            <v>10:30 - 10:59</v>
          </cell>
          <cell r="B25">
            <v>1</v>
          </cell>
        </row>
        <row r="26">
          <cell r="A26" t="str">
            <v>11:00 - 11:29</v>
          </cell>
          <cell r="B26">
            <v>2</v>
          </cell>
        </row>
        <row r="27">
          <cell r="A27" t="str">
            <v>11:30 - 11:59</v>
          </cell>
          <cell r="B27">
            <v>2</v>
          </cell>
        </row>
        <row r="28">
          <cell r="A28" t="str">
            <v>12:00 - 12:29</v>
          </cell>
          <cell r="B28">
            <v>0</v>
          </cell>
        </row>
        <row r="29">
          <cell r="A29" t="str">
            <v>12:30 - 12:59</v>
          </cell>
          <cell r="B29">
            <v>3</v>
          </cell>
        </row>
        <row r="30">
          <cell r="A30" t="str">
            <v>13:00 - 13:29</v>
          </cell>
          <cell r="B30">
            <v>1</v>
          </cell>
        </row>
        <row r="31">
          <cell r="A31" t="str">
            <v>13:30 - 13:59</v>
          </cell>
          <cell r="B31">
            <v>0</v>
          </cell>
        </row>
        <row r="32">
          <cell r="A32" t="str">
            <v>14:00 - 14:29</v>
          </cell>
          <cell r="B32">
            <v>0</v>
          </cell>
        </row>
        <row r="33">
          <cell r="A33" t="str">
            <v>14:30 - 14:59</v>
          </cell>
          <cell r="B33">
            <v>0</v>
          </cell>
        </row>
        <row r="34">
          <cell r="A34" t="str">
            <v>15:00 - 15:29</v>
          </cell>
          <cell r="B34">
            <v>0</v>
          </cell>
        </row>
        <row r="35">
          <cell r="A35" t="str">
            <v>15:30 - 15:59</v>
          </cell>
          <cell r="B35">
            <v>5</v>
          </cell>
        </row>
        <row r="36">
          <cell r="A36" t="str">
            <v>16:00 - 16:29</v>
          </cell>
          <cell r="B36">
            <v>1</v>
          </cell>
        </row>
        <row r="37">
          <cell r="A37" t="str">
            <v>16:30 - 16:59</v>
          </cell>
          <cell r="B37">
            <v>2</v>
          </cell>
        </row>
        <row r="38">
          <cell r="A38" t="str">
            <v>17:00 - 17:29</v>
          </cell>
          <cell r="B38">
            <v>0</v>
          </cell>
        </row>
        <row r="39">
          <cell r="A39" t="str">
            <v>17:30 - 17:59</v>
          </cell>
          <cell r="B39">
            <v>0</v>
          </cell>
        </row>
        <row r="40">
          <cell r="A40" t="str">
            <v>18:00 - 18:29</v>
          </cell>
          <cell r="B40">
            <v>0</v>
          </cell>
        </row>
        <row r="41">
          <cell r="A41" t="str">
            <v>18:30 - 18:59</v>
          </cell>
          <cell r="B41">
            <v>0</v>
          </cell>
        </row>
        <row r="42">
          <cell r="A42" t="str">
            <v>19:00 - 19:29</v>
          </cell>
          <cell r="B42">
            <v>0</v>
          </cell>
        </row>
        <row r="43">
          <cell r="A43" t="str">
            <v>19:30 - 19:59</v>
          </cell>
          <cell r="B43">
            <v>0</v>
          </cell>
        </row>
        <row r="44">
          <cell r="A44" t="str">
            <v>20:00 - 20:29</v>
          </cell>
          <cell r="B44">
            <v>0</v>
          </cell>
        </row>
        <row r="45">
          <cell r="A45" t="str">
            <v>20:30 - 20:59</v>
          </cell>
          <cell r="B45">
            <v>0</v>
          </cell>
        </row>
        <row r="46">
          <cell r="A46" t="str">
            <v>21:00 - 21:29</v>
          </cell>
          <cell r="B46">
            <v>0</v>
          </cell>
        </row>
        <row r="47">
          <cell r="A47" t="str">
            <v>21:30 - 21:59</v>
          </cell>
          <cell r="B47">
            <v>0</v>
          </cell>
        </row>
        <row r="48">
          <cell r="A48" t="str">
            <v>22:00 - 22:29</v>
          </cell>
          <cell r="B48">
            <v>0</v>
          </cell>
        </row>
        <row r="49">
          <cell r="A49" t="str">
            <v>22:30 - 22:59</v>
          </cell>
          <cell r="B49">
            <v>0</v>
          </cell>
        </row>
        <row r="50">
          <cell r="A50" t="str">
            <v>23:00 - 23:29</v>
          </cell>
          <cell r="B50">
            <v>0</v>
          </cell>
        </row>
        <row r="51">
          <cell r="A51" t="str">
            <v>23:30 - 23:59</v>
          </cell>
          <cell r="B51">
            <v>0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4:D295" totalsRowShown="0">
  <autoFilter ref="A4:D295" xr:uid="{00000000-0009-0000-0100-000001000000}"/>
  <tableColumns count="4">
    <tableColumn id="1" xr3:uid="{00000000-0010-0000-0000-000001000000}" name="Date"/>
    <tableColumn id="2" xr3:uid="{00000000-0010-0000-0000-000002000000}" name="Time"/>
    <tableColumn id="3" xr3:uid="{00000000-0010-0000-0000-000003000000}" name="Slot"/>
    <tableColumn id="4" xr3:uid="{00000000-0010-0000-0000-000004000000}" name="Coun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zoomScaleNormal="100" workbookViewId="0"/>
  </sheetViews>
  <sheetFormatPr baseColWidth="10" defaultColWidth="8.7109375" defaultRowHeight="15" x14ac:dyDescent="0.25"/>
  <cols>
    <col min="1" max="1" width="95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x14ac:dyDescent="0.25">
      <c r="A10" s="3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3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/>
    </row>
    <row r="26" spans="1:1" x14ac:dyDescent="0.25">
      <c r="A26" s="3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/>
    </row>
    <row r="33" spans="1:1" x14ac:dyDescent="0.25">
      <c r="A33" s="3" t="s">
        <v>26</v>
      </c>
    </row>
    <row r="34" spans="1:1" x14ac:dyDescent="0.25">
      <c r="A34" s="2" t="s">
        <v>27</v>
      </c>
    </row>
    <row r="35" spans="1:1" x14ac:dyDescent="0.25">
      <c r="A35" s="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1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2" width="12" customWidth="1"/>
    <col min="3" max="50" width="6" customWidth="1"/>
    <col min="51" max="51" width="12" customWidth="1"/>
  </cols>
  <sheetData>
    <row r="1" spans="1:51" ht="18" x14ac:dyDescent="0.25">
      <c r="A1" s="1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5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</row>
    <row r="5" spans="1:51" x14ac:dyDescent="0.25">
      <c r="A5" s="7">
        <v>46150</v>
      </c>
      <c r="B5" s="4" t="str">
        <f t="shared" ref="B5:B36" si="0">IF(A5="","",CHOOSE(WEEKDAY(A5,2),"Monday","Tuesday","Wednesday","Thursday","Friday","Saturday","Sunday"))</f>
        <v>Friday</v>
      </c>
      <c r="C5" s="4">
        <f>IF($A5="","",COUNTIFS(RawData[Date],$A5,RawData[Slot],0))</f>
        <v>0</v>
      </c>
      <c r="D5" s="4">
        <f>IF($A5="","",COUNTIFS(RawData[Date],$A5,RawData[Slot],1))</f>
        <v>0</v>
      </c>
      <c r="E5" s="4">
        <f>IF($A5="","",COUNTIFS(RawData[Date],$A5,RawData[Slot],2))</f>
        <v>0</v>
      </c>
      <c r="F5" s="4">
        <f>IF($A5="","",COUNTIFS(RawData[Date],$A5,RawData[Slot],3))</f>
        <v>0</v>
      </c>
      <c r="G5" s="4">
        <f>IF($A5="","",COUNTIFS(RawData[Date],$A5,RawData[Slot],4))</f>
        <v>0</v>
      </c>
      <c r="H5" s="4">
        <f>IF($A5="","",COUNTIFS(RawData[Date],$A5,RawData[Slot],5))</f>
        <v>0</v>
      </c>
      <c r="I5" s="4">
        <f>IF($A5="","",COUNTIFS(RawData[Date],$A5,RawData[Slot],6))</f>
        <v>0</v>
      </c>
      <c r="J5" s="4">
        <f>IF($A5="","",COUNTIFS(RawData[Date],$A5,RawData[Slot],7))</f>
        <v>0</v>
      </c>
      <c r="K5" s="4">
        <f>IF($A5="","",COUNTIFS(RawData[Date],$A5,RawData[Slot],8))</f>
        <v>0</v>
      </c>
      <c r="L5" s="4">
        <f>IF($A5="","",COUNTIFS(RawData[Date],$A5,RawData[Slot],9))</f>
        <v>0</v>
      </c>
      <c r="M5" s="4">
        <f>IF($A5="","",COUNTIFS(RawData[Date],$A5,RawData[Slot],10))</f>
        <v>0</v>
      </c>
      <c r="N5" s="4">
        <f>IF($A5="","",COUNTIFS(RawData[Date],$A5,RawData[Slot],11))</f>
        <v>0</v>
      </c>
      <c r="O5" s="4">
        <f>IF($A5="","",COUNTIFS(RawData[Date],$A5,RawData[Slot],12))</f>
        <v>0</v>
      </c>
      <c r="P5" s="4">
        <f>IF($A5="","",COUNTIFS(RawData[Date],$A5,RawData[Slot],13))</f>
        <v>0</v>
      </c>
      <c r="Q5" s="4">
        <f>IF($A5="","",COUNTIFS(RawData[Date],$A5,RawData[Slot],14))</f>
        <v>0</v>
      </c>
      <c r="R5" s="4">
        <f>IF($A5="","",COUNTIFS(RawData[Date],$A5,RawData[Slot],15))</f>
        <v>0</v>
      </c>
      <c r="S5" s="4">
        <f>IF($A5="","",COUNTIFS(RawData[Date],$A5,RawData[Slot],16))</f>
        <v>0</v>
      </c>
      <c r="T5" s="4">
        <f>IF($A5="","",COUNTIFS(RawData[Date],$A5,RawData[Slot],17))</f>
        <v>0</v>
      </c>
      <c r="U5" s="4">
        <f>IF($A5="","",COUNTIFS(RawData[Date],$A5,RawData[Slot],18))</f>
        <v>0</v>
      </c>
      <c r="V5" s="4">
        <f>IF($A5="","",COUNTIFS(RawData[Date],$A5,RawData[Slot],19))</f>
        <v>6</v>
      </c>
      <c r="W5" s="4">
        <f>IF($A5="","",COUNTIFS(RawData[Date],$A5,RawData[Slot],20))</f>
        <v>3</v>
      </c>
      <c r="X5" s="4">
        <f>IF($A5="","",COUNTIFS(RawData[Date],$A5,RawData[Slot],21))</f>
        <v>1</v>
      </c>
      <c r="Y5" s="4">
        <f>IF($A5="","",COUNTIFS(RawData[Date],$A5,RawData[Slot],22))</f>
        <v>2</v>
      </c>
      <c r="Z5" s="4">
        <f>IF($A5="","",COUNTIFS(RawData[Date],$A5,RawData[Slot],23))</f>
        <v>2</v>
      </c>
      <c r="AA5" s="4">
        <f>IF($A5="","",COUNTIFS(RawData[Date],$A5,RawData[Slot],24))</f>
        <v>0</v>
      </c>
      <c r="AB5" s="4">
        <f>IF($A5="","",COUNTIFS(RawData[Date],$A5,RawData[Slot],25))</f>
        <v>3</v>
      </c>
      <c r="AC5" s="4">
        <f>IF($A5="","",COUNTIFS(RawData[Date],$A5,RawData[Slot],26))</f>
        <v>1</v>
      </c>
      <c r="AD5" s="4">
        <f>IF($A5="","",COUNTIFS(RawData[Date],$A5,RawData[Slot],27))</f>
        <v>0</v>
      </c>
      <c r="AE5" s="4">
        <f>IF($A5="","",COUNTIFS(RawData[Date],$A5,RawData[Slot],28))</f>
        <v>0</v>
      </c>
      <c r="AF5" s="4">
        <f>IF($A5="","",COUNTIFS(RawData[Date],$A5,RawData[Slot],29))</f>
        <v>0</v>
      </c>
      <c r="AG5" s="4">
        <f>IF($A5="","",COUNTIFS(RawData[Date],$A5,RawData[Slot],30))</f>
        <v>0</v>
      </c>
      <c r="AH5" s="4">
        <f>IF($A5="","",COUNTIFS(RawData[Date],$A5,RawData[Slot],31))</f>
        <v>5</v>
      </c>
      <c r="AI5" s="4">
        <f>IF($A5="","",COUNTIFS(RawData[Date],$A5,RawData[Slot],32))</f>
        <v>1</v>
      </c>
      <c r="AJ5" s="4">
        <f>IF($A5="","",COUNTIFS(RawData[Date],$A5,RawData[Slot],33))</f>
        <v>2</v>
      </c>
      <c r="AK5" s="4">
        <f>IF($A5="","",COUNTIFS(RawData[Date],$A5,RawData[Slot],34))</f>
        <v>0</v>
      </c>
      <c r="AL5" s="4">
        <f>IF($A5="","",COUNTIFS(RawData[Date],$A5,RawData[Slot],35))</f>
        <v>0</v>
      </c>
      <c r="AM5" s="4">
        <f>IF($A5="","",COUNTIFS(RawData[Date],$A5,RawData[Slot],36))</f>
        <v>0</v>
      </c>
      <c r="AN5" s="4">
        <f>IF($A5="","",COUNTIFS(RawData[Date],$A5,RawData[Slot],37))</f>
        <v>0</v>
      </c>
      <c r="AO5" s="4">
        <f>IF($A5="","",COUNTIFS(RawData[Date],$A5,RawData[Slot],38))</f>
        <v>0</v>
      </c>
      <c r="AP5" s="4">
        <f>IF($A5="","",COUNTIFS(RawData[Date],$A5,RawData[Slot],39))</f>
        <v>0</v>
      </c>
      <c r="AQ5" s="4">
        <f>IF($A5="","",COUNTIFS(RawData[Date],$A5,RawData[Slot],40))</f>
        <v>0</v>
      </c>
      <c r="AR5" s="4">
        <f>IF($A5="","",COUNTIFS(RawData[Date],$A5,RawData[Slot],41))</f>
        <v>0</v>
      </c>
      <c r="AS5" s="4">
        <f>IF($A5="","",COUNTIFS(RawData[Date],$A5,RawData[Slot],42))</f>
        <v>0</v>
      </c>
      <c r="AT5" s="4">
        <f>IF($A5="","",COUNTIFS(RawData[Date],$A5,RawData[Slot],43))</f>
        <v>0</v>
      </c>
      <c r="AU5" s="4">
        <f>IF($A5="","",COUNTIFS(RawData[Date],$A5,RawData[Slot],44))</f>
        <v>0</v>
      </c>
      <c r="AV5" s="4">
        <f>IF($A5="","",COUNTIFS(RawData[Date],$A5,RawData[Slot],45))</f>
        <v>0</v>
      </c>
      <c r="AW5" s="4">
        <f>IF($A5="","",COUNTIFS(RawData[Date],$A5,RawData[Slot],46))</f>
        <v>0</v>
      </c>
      <c r="AX5" s="4">
        <f>IF($A5="","",COUNTIFS(RawData[Date],$A5,RawData[Slot],47))</f>
        <v>0</v>
      </c>
      <c r="AY5" s="4">
        <f t="shared" ref="AY5:AY36" si="1">IF(A5="","",SUM(C5:AX5))</f>
        <v>26</v>
      </c>
    </row>
    <row r="6" spans="1:51" x14ac:dyDescent="0.25">
      <c r="A6" s="7">
        <v>46153</v>
      </c>
      <c r="B6" s="4" t="str">
        <f t="shared" si="0"/>
        <v>Monday</v>
      </c>
      <c r="C6" s="4">
        <f>IF($A6="","",COUNTIFS(RawData[Date],$A6,RawData[Slot],0))</f>
        <v>0</v>
      </c>
      <c r="D6" s="4">
        <f>IF($A6="","",COUNTIFS(RawData[Date],$A6,RawData[Slot],1))</f>
        <v>0</v>
      </c>
      <c r="E6" s="4">
        <f>IF($A6="","",COUNTIFS(RawData[Date],$A6,RawData[Slot],2))</f>
        <v>0</v>
      </c>
      <c r="F6" s="4">
        <f>IF($A6="","",COUNTIFS(RawData[Date],$A6,RawData[Slot],3))</f>
        <v>0</v>
      </c>
      <c r="G6" s="4">
        <f>IF($A6="","",COUNTIFS(RawData[Date],$A6,RawData[Slot],4))</f>
        <v>0</v>
      </c>
      <c r="H6" s="4">
        <f>IF($A6="","",COUNTIFS(RawData[Date],$A6,RawData[Slot],5))</f>
        <v>0</v>
      </c>
      <c r="I6" s="4">
        <f>IF($A6="","",COUNTIFS(RawData[Date],$A6,RawData[Slot],6))</f>
        <v>0</v>
      </c>
      <c r="J6" s="4">
        <f>IF($A6="","",COUNTIFS(RawData[Date],$A6,RawData[Slot],7))</f>
        <v>0</v>
      </c>
      <c r="K6" s="4">
        <f>IF($A6="","",COUNTIFS(RawData[Date],$A6,RawData[Slot],8))</f>
        <v>0</v>
      </c>
      <c r="L6" s="4">
        <f>IF($A6="","",COUNTIFS(RawData[Date],$A6,RawData[Slot],9))</f>
        <v>0</v>
      </c>
      <c r="M6" s="4">
        <f>IF($A6="","",COUNTIFS(RawData[Date],$A6,RawData[Slot],10))</f>
        <v>0</v>
      </c>
      <c r="N6" s="4">
        <f>IF($A6="","",COUNTIFS(RawData[Date],$A6,RawData[Slot],11))</f>
        <v>0</v>
      </c>
      <c r="O6" s="4">
        <f>IF($A6="","",COUNTIFS(RawData[Date],$A6,RawData[Slot],12))</f>
        <v>0</v>
      </c>
      <c r="P6" s="4">
        <f>IF($A6="","",COUNTIFS(RawData[Date],$A6,RawData[Slot],13))</f>
        <v>0</v>
      </c>
      <c r="Q6" s="4">
        <f>IF($A6="","",COUNTIFS(RawData[Date],$A6,RawData[Slot],14))</f>
        <v>0</v>
      </c>
      <c r="R6" s="4">
        <f>IF($A6="","",COUNTIFS(RawData[Date],$A6,RawData[Slot],15))</f>
        <v>0</v>
      </c>
      <c r="S6" s="4">
        <f>IF($A6="","",COUNTIFS(RawData[Date],$A6,RawData[Slot],16))</f>
        <v>0</v>
      </c>
      <c r="T6" s="4">
        <f>IF($A6="","",COUNTIFS(RawData[Date],$A6,RawData[Slot],17))</f>
        <v>0</v>
      </c>
      <c r="U6" s="4">
        <f>IF($A6="","",COUNTIFS(RawData[Date],$A6,RawData[Slot],18))</f>
        <v>0</v>
      </c>
      <c r="V6" s="4">
        <f>IF($A6="","",COUNTIFS(RawData[Date],$A6,RawData[Slot],19))</f>
        <v>0</v>
      </c>
      <c r="W6" s="4">
        <f>IF($A6="","",COUNTIFS(RawData[Date],$A6,RawData[Slot],20))</f>
        <v>0</v>
      </c>
      <c r="X6" s="4">
        <f>IF($A6="","",COUNTIFS(RawData[Date],$A6,RawData[Slot],21))</f>
        <v>0</v>
      </c>
      <c r="Y6" s="4">
        <f>IF($A6="","",COUNTIFS(RawData[Date],$A6,RawData[Slot],22))</f>
        <v>0</v>
      </c>
      <c r="Z6" s="4">
        <f>IF($A6="","",COUNTIFS(RawData[Date],$A6,RawData[Slot],23))</f>
        <v>0</v>
      </c>
      <c r="AA6" s="4">
        <f>IF($A6="","",COUNTIFS(RawData[Date],$A6,RawData[Slot],24))</f>
        <v>0</v>
      </c>
      <c r="AB6" s="4">
        <f>IF($A6="","",COUNTIFS(RawData[Date],$A6,RawData[Slot],25))</f>
        <v>0</v>
      </c>
      <c r="AC6" s="4">
        <f>IF($A6="","",COUNTIFS(RawData[Date],$A6,RawData[Slot],26))</f>
        <v>0</v>
      </c>
      <c r="AD6" s="4">
        <f>IF($A6="","",COUNTIFS(RawData[Date],$A6,RawData[Slot],27))</f>
        <v>0</v>
      </c>
      <c r="AE6" s="4">
        <f>IF($A6="","",COUNTIFS(RawData[Date],$A6,RawData[Slot],28))</f>
        <v>0</v>
      </c>
      <c r="AF6" s="4">
        <f>IF($A6="","",COUNTIFS(RawData[Date],$A6,RawData[Slot],29))</f>
        <v>0</v>
      </c>
      <c r="AG6" s="4">
        <f>IF($A6="","",COUNTIFS(RawData[Date],$A6,RawData[Slot],30))</f>
        <v>0</v>
      </c>
      <c r="AH6" s="4">
        <f>IF($A6="","",COUNTIFS(RawData[Date],$A6,RawData[Slot],31))</f>
        <v>0</v>
      </c>
      <c r="AI6" s="4">
        <f>IF($A6="","",COUNTIFS(RawData[Date],$A6,RawData[Slot],32))</f>
        <v>0</v>
      </c>
      <c r="AJ6" s="4">
        <f>IF($A6="","",COUNTIFS(RawData[Date],$A6,RawData[Slot],33))</f>
        <v>0</v>
      </c>
      <c r="AK6" s="4">
        <f>IF($A6="","",COUNTIFS(RawData[Date],$A6,RawData[Slot],34))</f>
        <v>0</v>
      </c>
      <c r="AL6" s="4">
        <f>IF($A6="","",COUNTIFS(RawData[Date],$A6,RawData[Slot],35))</f>
        <v>0</v>
      </c>
      <c r="AM6" s="4">
        <f>IF($A6="","",COUNTIFS(RawData[Date],$A6,RawData[Slot],36))</f>
        <v>0</v>
      </c>
      <c r="AN6" s="4">
        <f>IF($A6="","",COUNTIFS(RawData[Date],$A6,RawData[Slot],37))</f>
        <v>0</v>
      </c>
      <c r="AO6" s="4">
        <f>IF($A6="","",COUNTIFS(RawData[Date],$A6,RawData[Slot],38))</f>
        <v>0</v>
      </c>
      <c r="AP6" s="4">
        <f>IF($A6="","",COUNTIFS(RawData[Date],$A6,RawData[Slot],39))</f>
        <v>0</v>
      </c>
      <c r="AQ6" s="4">
        <f>IF($A6="","",COUNTIFS(RawData[Date],$A6,RawData[Slot],40))</f>
        <v>0</v>
      </c>
      <c r="AR6" s="4">
        <f>IF($A6="","",COUNTIFS(RawData[Date],$A6,RawData[Slot],41))</f>
        <v>0</v>
      </c>
      <c r="AS6" s="4">
        <f>IF($A6="","",COUNTIFS(RawData[Date],$A6,RawData[Slot],42))</f>
        <v>0</v>
      </c>
      <c r="AT6" s="4">
        <f>IF($A6="","",COUNTIFS(RawData[Date],$A6,RawData[Slot],43))</f>
        <v>0</v>
      </c>
      <c r="AU6" s="4">
        <f>IF($A6="","",COUNTIFS(RawData[Date],$A6,RawData[Slot],44))</f>
        <v>0</v>
      </c>
      <c r="AV6" s="4">
        <f>IF($A6="","",COUNTIFS(RawData[Date],$A6,RawData[Slot],45))</f>
        <v>0</v>
      </c>
      <c r="AW6" s="4">
        <f>IF($A6="","",COUNTIFS(RawData[Date],$A6,RawData[Slot],46))</f>
        <v>0</v>
      </c>
      <c r="AX6" s="4">
        <f>IF($A6="","",COUNTIFS(RawData[Date],$A6,RawData[Slot],47))</f>
        <v>0</v>
      </c>
      <c r="AY6" s="4">
        <f t="shared" si="1"/>
        <v>0</v>
      </c>
    </row>
    <row r="7" spans="1:51" x14ac:dyDescent="0.25">
      <c r="A7" s="7">
        <v>46154</v>
      </c>
      <c r="B7" s="4" t="str">
        <f t="shared" si="0"/>
        <v>Tuesday</v>
      </c>
      <c r="C7" s="4">
        <f>IF($A7="","",COUNTIFS(RawData[Date],$A7,RawData[Slot],0))</f>
        <v>0</v>
      </c>
      <c r="D7" s="4">
        <f>IF($A7="","",COUNTIFS(RawData[Date],$A7,RawData[Slot],1))</f>
        <v>0</v>
      </c>
      <c r="E7" s="4">
        <f>IF($A7="","",COUNTIFS(RawData[Date],$A7,RawData[Slot],2))</f>
        <v>0</v>
      </c>
      <c r="F7" s="4">
        <f>IF($A7="","",COUNTIFS(RawData[Date],$A7,RawData[Slot],3))</f>
        <v>0</v>
      </c>
      <c r="G7" s="4">
        <f>IF($A7="","",COUNTIFS(RawData[Date],$A7,RawData[Slot],4))</f>
        <v>0</v>
      </c>
      <c r="H7" s="4">
        <f>IF($A7="","",COUNTIFS(RawData[Date],$A7,RawData[Slot],5))</f>
        <v>0</v>
      </c>
      <c r="I7" s="4">
        <f>IF($A7="","",COUNTIFS(RawData[Date],$A7,RawData[Slot],6))</f>
        <v>0</v>
      </c>
      <c r="J7" s="4">
        <f>IF($A7="","",COUNTIFS(RawData[Date],$A7,RawData[Slot],7))</f>
        <v>0</v>
      </c>
      <c r="K7" s="4">
        <f>IF($A7="","",COUNTIFS(RawData[Date],$A7,RawData[Slot],8))</f>
        <v>0</v>
      </c>
      <c r="L7" s="4">
        <f>IF($A7="","",COUNTIFS(RawData[Date],$A7,RawData[Slot],9))</f>
        <v>0</v>
      </c>
      <c r="M7" s="4">
        <f>IF($A7="","",COUNTIFS(RawData[Date],$A7,RawData[Slot],10))</f>
        <v>0</v>
      </c>
      <c r="N7" s="4">
        <f>IF($A7="","",COUNTIFS(RawData[Date],$A7,RawData[Slot],11))</f>
        <v>0</v>
      </c>
      <c r="O7" s="4">
        <f>IF($A7="","",COUNTIFS(RawData[Date],$A7,RawData[Slot],12))</f>
        <v>0</v>
      </c>
      <c r="P7" s="4">
        <f>IF($A7="","",COUNTIFS(RawData[Date],$A7,RawData[Slot],13))</f>
        <v>0</v>
      </c>
      <c r="Q7" s="4">
        <f>IF($A7="","",COUNTIFS(RawData[Date],$A7,RawData[Slot],14))</f>
        <v>0</v>
      </c>
      <c r="R7" s="4">
        <f>IF($A7="","",COUNTIFS(RawData[Date],$A7,RawData[Slot],15))</f>
        <v>0</v>
      </c>
      <c r="S7" s="4">
        <f>IF($A7="","",COUNTIFS(RawData[Date],$A7,RawData[Slot],16))</f>
        <v>0</v>
      </c>
      <c r="T7" s="4">
        <f>IF($A7="","",COUNTIFS(RawData[Date],$A7,RawData[Slot],17))</f>
        <v>0</v>
      </c>
      <c r="U7" s="4">
        <f>IF($A7="","",COUNTIFS(RawData[Date],$A7,RawData[Slot],18))</f>
        <v>0</v>
      </c>
      <c r="V7" s="4">
        <f>IF($A7="","",COUNTIFS(RawData[Date],$A7,RawData[Slot],19))</f>
        <v>0</v>
      </c>
      <c r="W7" s="4">
        <f>IF($A7="","",COUNTIFS(RawData[Date],$A7,RawData[Slot],20))</f>
        <v>0</v>
      </c>
      <c r="X7" s="4">
        <f>IF($A7="","",COUNTIFS(RawData[Date],$A7,RawData[Slot],21))</f>
        <v>0</v>
      </c>
      <c r="Y7" s="4">
        <f>IF($A7="","",COUNTIFS(RawData[Date],$A7,RawData[Slot],22))</f>
        <v>0</v>
      </c>
      <c r="Z7" s="4">
        <f>IF($A7="","",COUNTIFS(RawData[Date],$A7,RawData[Slot],23))</f>
        <v>0</v>
      </c>
      <c r="AA7" s="4">
        <f>IF($A7="","",COUNTIFS(RawData[Date],$A7,RawData[Slot],24))</f>
        <v>0</v>
      </c>
      <c r="AB7" s="4">
        <f>IF($A7="","",COUNTIFS(RawData[Date],$A7,RawData[Slot],25))</f>
        <v>0</v>
      </c>
      <c r="AC7" s="4">
        <f>IF($A7="","",COUNTIFS(RawData[Date],$A7,RawData[Slot],26))</f>
        <v>0</v>
      </c>
      <c r="AD7" s="4">
        <f>IF($A7="","",COUNTIFS(RawData[Date],$A7,RawData[Slot],27))</f>
        <v>0</v>
      </c>
      <c r="AE7" s="4">
        <f>IF($A7="","",COUNTIFS(RawData[Date],$A7,RawData[Slot],28))</f>
        <v>0</v>
      </c>
      <c r="AF7" s="4">
        <f>IF($A7="","",COUNTIFS(RawData[Date],$A7,RawData[Slot],29))</f>
        <v>0</v>
      </c>
      <c r="AG7" s="4">
        <f>IF($A7="","",COUNTIFS(RawData[Date],$A7,RawData[Slot],30))</f>
        <v>0</v>
      </c>
      <c r="AH7" s="4">
        <f>IF($A7="","",COUNTIFS(RawData[Date],$A7,RawData[Slot],31))</f>
        <v>0</v>
      </c>
      <c r="AI7" s="4">
        <f>IF($A7="","",COUNTIFS(RawData[Date],$A7,RawData[Slot],32))</f>
        <v>0</v>
      </c>
      <c r="AJ7" s="4">
        <f>IF($A7="","",COUNTIFS(RawData[Date],$A7,RawData[Slot],33))</f>
        <v>0</v>
      </c>
      <c r="AK7" s="4">
        <f>IF($A7="","",COUNTIFS(RawData[Date],$A7,RawData[Slot],34))</f>
        <v>0</v>
      </c>
      <c r="AL7" s="4">
        <f>IF($A7="","",COUNTIFS(RawData[Date],$A7,RawData[Slot],35))</f>
        <v>0</v>
      </c>
      <c r="AM7" s="4">
        <f>IF($A7="","",COUNTIFS(RawData[Date],$A7,RawData[Slot],36))</f>
        <v>0</v>
      </c>
      <c r="AN7" s="4">
        <f>IF($A7="","",COUNTIFS(RawData[Date],$A7,RawData[Slot],37))</f>
        <v>0</v>
      </c>
      <c r="AO7" s="4">
        <f>IF($A7="","",COUNTIFS(RawData[Date],$A7,RawData[Slot],38))</f>
        <v>0</v>
      </c>
      <c r="AP7" s="4">
        <f>IF($A7="","",COUNTIFS(RawData[Date],$A7,RawData[Slot],39))</f>
        <v>0</v>
      </c>
      <c r="AQ7" s="4">
        <f>IF($A7="","",COUNTIFS(RawData[Date],$A7,RawData[Slot],40))</f>
        <v>0</v>
      </c>
      <c r="AR7" s="4">
        <f>IF($A7="","",COUNTIFS(RawData[Date],$A7,RawData[Slot],41))</f>
        <v>0</v>
      </c>
      <c r="AS7" s="4">
        <f>IF($A7="","",COUNTIFS(RawData[Date],$A7,RawData[Slot],42))</f>
        <v>0</v>
      </c>
      <c r="AT7" s="4">
        <f>IF($A7="","",COUNTIFS(RawData[Date],$A7,RawData[Slot],43))</f>
        <v>0</v>
      </c>
      <c r="AU7" s="4">
        <f>IF($A7="","",COUNTIFS(RawData[Date],$A7,RawData[Slot],44))</f>
        <v>0</v>
      </c>
      <c r="AV7" s="4">
        <f>IF($A7="","",COUNTIFS(RawData[Date],$A7,RawData[Slot],45))</f>
        <v>0</v>
      </c>
      <c r="AW7" s="4">
        <f>IF($A7="","",COUNTIFS(RawData[Date],$A7,RawData[Slot],46))</f>
        <v>0</v>
      </c>
      <c r="AX7" s="4">
        <f>IF($A7="","",COUNTIFS(RawData[Date],$A7,RawData[Slot],47))</f>
        <v>0</v>
      </c>
      <c r="AY7" s="4">
        <f t="shared" si="1"/>
        <v>0</v>
      </c>
    </row>
    <row r="8" spans="1:51" x14ac:dyDescent="0.25">
      <c r="A8" s="7">
        <v>46155</v>
      </c>
      <c r="B8" s="4" t="str">
        <f t="shared" si="0"/>
        <v>Wednesday</v>
      </c>
      <c r="C8" s="4">
        <f>IF($A8="","",COUNTIFS(RawData[Date],$A8,RawData[Slot],0))</f>
        <v>0</v>
      </c>
      <c r="D8" s="4">
        <f>IF($A8="","",COUNTIFS(RawData[Date],$A8,RawData[Slot],1))</f>
        <v>0</v>
      </c>
      <c r="E8" s="4">
        <f>IF($A8="","",COUNTIFS(RawData[Date],$A8,RawData[Slot],2))</f>
        <v>0</v>
      </c>
      <c r="F8" s="4">
        <f>IF($A8="","",COUNTIFS(RawData[Date],$A8,RawData[Slot],3))</f>
        <v>0</v>
      </c>
      <c r="G8" s="4">
        <f>IF($A8="","",COUNTIFS(RawData[Date],$A8,RawData[Slot],4))</f>
        <v>0</v>
      </c>
      <c r="H8" s="4">
        <f>IF($A8="","",COUNTIFS(RawData[Date],$A8,RawData[Slot],5))</f>
        <v>0</v>
      </c>
      <c r="I8" s="4">
        <f>IF($A8="","",COUNTIFS(RawData[Date],$A8,RawData[Slot],6))</f>
        <v>0</v>
      </c>
      <c r="J8" s="4">
        <f>IF($A8="","",COUNTIFS(RawData[Date],$A8,RawData[Slot],7))</f>
        <v>0</v>
      </c>
      <c r="K8" s="4">
        <f>IF($A8="","",COUNTIFS(RawData[Date],$A8,RawData[Slot],8))</f>
        <v>0</v>
      </c>
      <c r="L8" s="4">
        <f>IF($A8="","",COUNTIFS(RawData[Date],$A8,RawData[Slot],9))</f>
        <v>0</v>
      </c>
      <c r="M8" s="4">
        <f>IF($A8="","",COUNTIFS(RawData[Date],$A8,RawData[Slot],10))</f>
        <v>0</v>
      </c>
      <c r="N8" s="4">
        <f>IF($A8="","",COUNTIFS(RawData[Date],$A8,RawData[Slot],11))</f>
        <v>0</v>
      </c>
      <c r="O8" s="4">
        <f>IF($A8="","",COUNTIFS(RawData[Date],$A8,RawData[Slot],12))</f>
        <v>0</v>
      </c>
      <c r="P8" s="4">
        <f>IF($A8="","",COUNTIFS(RawData[Date],$A8,RawData[Slot],13))</f>
        <v>0</v>
      </c>
      <c r="Q8" s="4">
        <f>IF($A8="","",COUNTIFS(RawData[Date],$A8,RawData[Slot],14))</f>
        <v>0</v>
      </c>
      <c r="R8" s="4">
        <f>IF($A8="","",COUNTIFS(RawData[Date],$A8,RawData[Slot],15))</f>
        <v>0</v>
      </c>
      <c r="S8" s="4">
        <f>IF($A8="","",COUNTIFS(RawData[Date],$A8,RawData[Slot],16))</f>
        <v>0</v>
      </c>
      <c r="T8" s="4">
        <f>IF($A8="","",COUNTIFS(RawData[Date],$A8,RawData[Slot],17))</f>
        <v>0</v>
      </c>
      <c r="U8" s="4">
        <f>IF($A8="","",COUNTIFS(RawData[Date],$A8,RawData[Slot],18))</f>
        <v>0</v>
      </c>
      <c r="V8" s="4">
        <f>IF($A8="","",COUNTIFS(RawData[Date],$A8,RawData[Slot],19))</f>
        <v>0</v>
      </c>
      <c r="W8" s="4">
        <f>IF($A8="","",COUNTIFS(RawData[Date],$A8,RawData[Slot],20))</f>
        <v>0</v>
      </c>
      <c r="X8" s="4">
        <f>IF($A8="","",COUNTIFS(RawData[Date],$A8,RawData[Slot],21))</f>
        <v>0</v>
      </c>
      <c r="Y8" s="4">
        <f>IF($A8="","",COUNTIFS(RawData[Date],$A8,RawData[Slot],22))</f>
        <v>0</v>
      </c>
      <c r="Z8" s="4">
        <f>IF($A8="","",COUNTIFS(RawData[Date],$A8,RawData[Slot],23))</f>
        <v>0</v>
      </c>
      <c r="AA8" s="4">
        <f>IF($A8="","",COUNTIFS(RawData[Date],$A8,RawData[Slot],24))</f>
        <v>0</v>
      </c>
      <c r="AB8" s="4">
        <f>IF($A8="","",COUNTIFS(RawData[Date],$A8,RawData[Slot],25))</f>
        <v>0</v>
      </c>
      <c r="AC8" s="4">
        <f>IF($A8="","",COUNTIFS(RawData[Date],$A8,RawData[Slot],26))</f>
        <v>0</v>
      </c>
      <c r="AD8" s="4">
        <f>IF($A8="","",COUNTIFS(RawData[Date],$A8,RawData[Slot],27))</f>
        <v>0</v>
      </c>
      <c r="AE8" s="4">
        <f>IF($A8="","",COUNTIFS(RawData[Date],$A8,RawData[Slot],28))</f>
        <v>0</v>
      </c>
      <c r="AF8" s="4">
        <f>IF($A8="","",COUNTIFS(RawData[Date],$A8,RawData[Slot],29))</f>
        <v>0</v>
      </c>
      <c r="AG8" s="4">
        <f>IF($A8="","",COUNTIFS(RawData[Date],$A8,RawData[Slot],30))</f>
        <v>0</v>
      </c>
      <c r="AH8" s="4">
        <f>IF($A8="","",COUNTIFS(RawData[Date],$A8,RawData[Slot],31))</f>
        <v>0</v>
      </c>
      <c r="AI8" s="4">
        <f>IF($A8="","",COUNTIFS(RawData[Date],$A8,RawData[Slot],32))</f>
        <v>0</v>
      </c>
      <c r="AJ8" s="4">
        <f>IF($A8="","",COUNTIFS(RawData[Date],$A8,RawData[Slot],33))</f>
        <v>0</v>
      </c>
      <c r="AK8" s="4">
        <f>IF($A8="","",COUNTIFS(RawData[Date],$A8,RawData[Slot],34))</f>
        <v>0</v>
      </c>
      <c r="AL8" s="4">
        <f>IF($A8="","",COUNTIFS(RawData[Date],$A8,RawData[Slot],35))</f>
        <v>0</v>
      </c>
      <c r="AM8" s="4">
        <f>IF($A8="","",COUNTIFS(RawData[Date],$A8,RawData[Slot],36))</f>
        <v>0</v>
      </c>
      <c r="AN8" s="4">
        <f>IF($A8="","",COUNTIFS(RawData[Date],$A8,RawData[Slot],37))</f>
        <v>0</v>
      </c>
      <c r="AO8" s="4">
        <f>IF($A8="","",COUNTIFS(RawData[Date],$A8,RawData[Slot],38))</f>
        <v>0</v>
      </c>
      <c r="AP8" s="4">
        <f>IF($A8="","",COUNTIFS(RawData[Date],$A8,RawData[Slot],39))</f>
        <v>0</v>
      </c>
      <c r="AQ8" s="4">
        <f>IF($A8="","",COUNTIFS(RawData[Date],$A8,RawData[Slot],40))</f>
        <v>0</v>
      </c>
      <c r="AR8" s="4">
        <f>IF($A8="","",COUNTIFS(RawData[Date],$A8,RawData[Slot],41))</f>
        <v>0</v>
      </c>
      <c r="AS8" s="4">
        <f>IF($A8="","",COUNTIFS(RawData[Date],$A8,RawData[Slot],42))</f>
        <v>0</v>
      </c>
      <c r="AT8" s="4">
        <f>IF($A8="","",COUNTIFS(RawData[Date],$A8,RawData[Slot],43))</f>
        <v>0</v>
      </c>
      <c r="AU8" s="4">
        <f>IF($A8="","",COUNTIFS(RawData[Date],$A8,RawData[Slot],44))</f>
        <v>0</v>
      </c>
      <c r="AV8" s="4">
        <f>IF($A8="","",COUNTIFS(RawData[Date],$A8,RawData[Slot],45))</f>
        <v>0</v>
      </c>
      <c r="AW8" s="4">
        <f>IF($A8="","",COUNTIFS(RawData[Date],$A8,RawData[Slot],46))</f>
        <v>0</v>
      </c>
      <c r="AX8" s="4">
        <f>IF($A8="","",COUNTIFS(RawData[Date],$A8,RawData[Slot],47))</f>
        <v>0</v>
      </c>
      <c r="AY8" s="4">
        <f t="shared" si="1"/>
        <v>0</v>
      </c>
    </row>
    <row r="9" spans="1:51" x14ac:dyDescent="0.25">
      <c r="A9" s="7">
        <v>46156</v>
      </c>
      <c r="B9" s="4" t="str">
        <f t="shared" si="0"/>
        <v>Thursday</v>
      </c>
      <c r="C9" s="4">
        <f>IF($A9="","",COUNTIFS(RawData[Date],$A9,RawData[Slot],0))</f>
        <v>0</v>
      </c>
      <c r="D9" s="4">
        <f>IF($A9="","",COUNTIFS(RawData[Date],$A9,RawData[Slot],1))</f>
        <v>0</v>
      </c>
      <c r="E9" s="4">
        <f>IF($A9="","",COUNTIFS(RawData[Date],$A9,RawData[Slot],2))</f>
        <v>0</v>
      </c>
      <c r="F9" s="4">
        <f>IF($A9="","",COUNTIFS(RawData[Date],$A9,RawData[Slot],3))</f>
        <v>0</v>
      </c>
      <c r="G9" s="4">
        <f>IF($A9="","",COUNTIFS(RawData[Date],$A9,RawData[Slot],4))</f>
        <v>0</v>
      </c>
      <c r="H9" s="4">
        <f>IF($A9="","",COUNTIFS(RawData[Date],$A9,RawData[Slot],5))</f>
        <v>0</v>
      </c>
      <c r="I9" s="4">
        <f>IF($A9="","",COUNTIFS(RawData[Date],$A9,RawData[Slot],6))</f>
        <v>0</v>
      </c>
      <c r="J9" s="4">
        <f>IF($A9="","",COUNTIFS(RawData[Date],$A9,RawData[Slot],7))</f>
        <v>0</v>
      </c>
      <c r="K9" s="4">
        <f>IF($A9="","",COUNTIFS(RawData[Date],$A9,RawData[Slot],8))</f>
        <v>0</v>
      </c>
      <c r="L9" s="4">
        <f>IF($A9="","",COUNTIFS(RawData[Date],$A9,RawData[Slot],9))</f>
        <v>0</v>
      </c>
      <c r="M9" s="4">
        <f>IF($A9="","",COUNTIFS(RawData[Date],$A9,RawData[Slot],10))</f>
        <v>0</v>
      </c>
      <c r="N9" s="4">
        <f>IF($A9="","",COUNTIFS(RawData[Date],$A9,RawData[Slot],11))</f>
        <v>0</v>
      </c>
      <c r="O9" s="4">
        <f>IF($A9="","",COUNTIFS(RawData[Date],$A9,RawData[Slot],12))</f>
        <v>0</v>
      </c>
      <c r="P9" s="4">
        <f>IF($A9="","",COUNTIFS(RawData[Date],$A9,RawData[Slot],13))</f>
        <v>0</v>
      </c>
      <c r="Q9" s="4">
        <f>IF($A9="","",COUNTIFS(RawData[Date],$A9,RawData[Slot],14))</f>
        <v>0</v>
      </c>
      <c r="R9" s="4">
        <f>IF($A9="","",COUNTIFS(RawData[Date],$A9,RawData[Slot],15))</f>
        <v>0</v>
      </c>
      <c r="S9" s="4">
        <f>IF($A9="","",COUNTIFS(RawData[Date],$A9,RawData[Slot],16))</f>
        <v>0</v>
      </c>
      <c r="T9" s="4">
        <f>IF($A9="","",COUNTIFS(RawData[Date],$A9,RawData[Slot],17))</f>
        <v>0</v>
      </c>
      <c r="U9" s="4">
        <f>IF($A9="","",COUNTIFS(RawData[Date],$A9,RawData[Slot],18))</f>
        <v>0</v>
      </c>
      <c r="V9" s="4">
        <f>IF($A9="","",COUNTIFS(RawData[Date],$A9,RawData[Slot],19))</f>
        <v>0</v>
      </c>
      <c r="W9" s="4">
        <f>IF($A9="","",COUNTIFS(RawData[Date],$A9,RawData[Slot],20))</f>
        <v>0</v>
      </c>
      <c r="X9" s="4">
        <f>IF($A9="","",COUNTIFS(RawData[Date],$A9,RawData[Slot],21))</f>
        <v>0</v>
      </c>
      <c r="Y9" s="4">
        <f>IF($A9="","",COUNTIFS(RawData[Date],$A9,RawData[Slot],22))</f>
        <v>0</v>
      </c>
      <c r="Z9" s="4">
        <f>IF($A9="","",COUNTIFS(RawData[Date],$A9,RawData[Slot],23))</f>
        <v>0</v>
      </c>
      <c r="AA9" s="4">
        <f>IF($A9="","",COUNTIFS(RawData[Date],$A9,RawData[Slot],24))</f>
        <v>0</v>
      </c>
      <c r="AB9" s="4">
        <f>IF($A9="","",COUNTIFS(RawData[Date],$A9,RawData[Slot],25))</f>
        <v>0</v>
      </c>
      <c r="AC9" s="4">
        <f>IF($A9="","",COUNTIFS(RawData[Date],$A9,RawData[Slot],26))</f>
        <v>0</v>
      </c>
      <c r="AD9" s="4">
        <f>IF($A9="","",COUNTIFS(RawData[Date],$A9,RawData[Slot],27))</f>
        <v>0</v>
      </c>
      <c r="AE9" s="4">
        <f>IF($A9="","",COUNTIFS(RawData[Date],$A9,RawData[Slot],28))</f>
        <v>0</v>
      </c>
      <c r="AF9" s="4">
        <f>IF($A9="","",COUNTIFS(RawData[Date],$A9,RawData[Slot],29))</f>
        <v>0</v>
      </c>
      <c r="AG9" s="4">
        <f>IF($A9="","",COUNTIFS(RawData[Date],$A9,RawData[Slot],30))</f>
        <v>0</v>
      </c>
      <c r="AH9" s="4">
        <f>IF($A9="","",COUNTIFS(RawData[Date],$A9,RawData[Slot],31))</f>
        <v>0</v>
      </c>
      <c r="AI9" s="4">
        <f>IF($A9="","",COUNTIFS(RawData[Date],$A9,RawData[Slot],32))</f>
        <v>0</v>
      </c>
      <c r="AJ9" s="4">
        <f>IF($A9="","",COUNTIFS(RawData[Date],$A9,RawData[Slot],33))</f>
        <v>0</v>
      </c>
      <c r="AK9" s="4">
        <f>IF($A9="","",COUNTIFS(RawData[Date],$A9,RawData[Slot],34))</f>
        <v>0</v>
      </c>
      <c r="AL9" s="4">
        <f>IF($A9="","",COUNTIFS(RawData[Date],$A9,RawData[Slot],35))</f>
        <v>0</v>
      </c>
      <c r="AM9" s="4">
        <f>IF($A9="","",COUNTIFS(RawData[Date],$A9,RawData[Slot],36))</f>
        <v>0</v>
      </c>
      <c r="AN9" s="4">
        <f>IF($A9="","",COUNTIFS(RawData[Date],$A9,RawData[Slot],37))</f>
        <v>0</v>
      </c>
      <c r="AO9" s="4">
        <f>IF($A9="","",COUNTIFS(RawData[Date],$A9,RawData[Slot],38))</f>
        <v>0</v>
      </c>
      <c r="AP9" s="4">
        <f>IF($A9="","",COUNTIFS(RawData[Date],$A9,RawData[Slot],39))</f>
        <v>0</v>
      </c>
      <c r="AQ9" s="4">
        <f>IF($A9="","",COUNTIFS(RawData[Date],$A9,RawData[Slot],40))</f>
        <v>0</v>
      </c>
      <c r="AR9" s="4">
        <f>IF($A9="","",COUNTIFS(RawData[Date],$A9,RawData[Slot],41))</f>
        <v>0</v>
      </c>
      <c r="AS9" s="4">
        <f>IF($A9="","",COUNTIFS(RawData[Date],$A9,RawData[Slot],42))</f>
        <v>0</v>
      </c>
      <c r="AT9" s="4">
        <f>IF($A9="","",COUNTIFS(RawData[Date],$A9,RawData[Slot],43))</f>
        <v>0</v>
      </c>
      <c r="AU9" s="4">
        <f>IF($A9="","",COUNTIFS(RawData[Date],$A9,RawData[Slot],44))</f>
        <v>0</v>
      </c>
      <c r="AV9" s="4">
        <f>IF($A9="","",COUNTIFS(RawData[Date],$A9,RawData[Slot],45))</f>
        <v>0</v>
      </c>
      <c r="AW9" s="4">
        <f>IF($A9="","",COUNTIFS(RawData[Date],$A9,RawData[Slot],46))</f>
        <v>0</v>
      </c>
      <c r="AX9" s="4">
        <f>IF($A9="","",COUNTIFS(RawData[Date],$A9,RawData[Slot],47))</f>
        <v>0</v>
      </c>
      <c r="AY9" s="4">
        <f t="shared" si="1"/>
        <v>0</v>
      </c>
    </row>
    <row r="10" spans="1:51" x14ac:dyDescent="0.25">
      <c r="A10" s="7">
        <v>46157</v>
      </c>
      <c r="B10" s="4" t="str">
        <f t="shared" si="0"/>
        <v>Friday</v>
      </c>
      <c r="C10" s="4">
        <f>IF($A10="","",COUNTIFS(RawData[Date],$A10,RawData[Slot],0))</f>
        <v>0</v>
      </c>
      <c r="D10" s="4">
        <f>IF($A10="","",COUNTIFS(RawData[Date],$A10,RawData[Slot],1))</f>
        <v>0</v>
      </c>
      <c r="E10" s="4">
        <f>IF($A10="","",COUNTIFS(RawData[Date],$A10,RawData[Slot],2))</f>
        <v>0</v>
      </c>
      <c r="F10" s="4">
        <f>IF($A10="","",COUNTIFS(RawData[Date],$A10,RawData[Slot],3))</f>
        <v>0</v>
      </c>
      <c r="G10" s="4">
        <f>IF($A10="","",COUNTIFS(RawData[Date],$A10,RawData[Slot],4))</f>
        <v>0</v>
      </c>
      <c r="H10" s="4">
        <f>IF($A10="","",COUNTIFS(RawData[Date],$A10,RawData[Slot],5))</f>
        <v>0</v>
      </c>
      <c r="I10" s="4">
        <f>IF($A10="","",COUNTIFS(RawData[Date],$A10,RawData[Slot],6))</f>
        <v>0</v>
      </c>
      <c r="J10" s="4">
        <f>IF($A10="","",COUNTIFS(RawData[Date],$A10,RawData[Slot],7))</f>
        <v>0</v>
      </c>
      <c r="K10" s="4">
        <f>IF($A10="","",COUNTIFS(RawData[Date],$A10,RawData[Slot],8))</f>
        <v>0</v>
      </c>
      <c r="L10" s="4">
        <f>IF($A10="","",COUNTIFS(RawData[Date],$A10,RawData[Slot],9))</f>
        <v>0</v>
      </c>
      <c r="M10" s="4">
        <f>IF($A10="","",COUNTIFS(RawData[Date],$A10,RawData[Slot],10))</f>
        <v>0</v>
      </c>
      <c r="N10" s="4">
        <f>IF($A10="","",COUNTIFS(RawData[Date],$A10,RawData[Slot],11))</f>
        <v>0</v>
      </c>
      <c r="O10" s="4">
        <f>IF($A10="","",COUNTIFS(RawData[Date],$A10,RawData[Slot],12))</f>
        <v>0</v>
      </c>
      <c r="P10" s="4">
        <f>IF($A10="","",COUNTIFS(RawData[Date],$A10,RawData[Slot],13))</f>
        <v>0</v>
      </c>
      <c r="Q10" s="4">
        <f>IF($A10="","",COUNTIFS(RawData[Date],$A10,RawData[Slot],14))</f>
        <v>0</v>
      </c>
      <c r="R10" s="4">
        <f>IF($A10="","",COUNTIFS(RawData[Date],$A10,RawData[Slot],15))</f>
        <v>0</v>
      </c>
      <c r="S10" s="4">
        <f>IF($A10="","",COUNTIFS(RawData[Date],$A10,RawData[Slot],16))</f>
        <v>0</v>
      </c>
      <c r="T10" s="4">
        <f>IF($A10="","",COUNTIFS(RawData[Date],$A10,RawData[Slot],17))</f>
        <v>0</v>
      </c>
      <c r="U10" s="4">
        <f>IF($A10="","",COUNTIFS(RawData[Date],$A10,RawData[Slot],18))</f>
        <v>0</v>
      </c>
      <c r="V10" s="4">
        <f>IF($A10="","",COUNTIFS(RawData[Date],$A10,RawData[Slot],19))</f>
        <v>0</v>
      </c>
      <c r="W10" s="4">
        <f>IF($A10="","",COUNTIFS(RawData[Date],$A10,RawData[Slot],20))</f>
        <v>0</v>
      </c>
      <c r="X10" s="4">
        <f>IF($A10="","",COUNTIFS(RawData[Date],$A10,RawData[Slot],21))</f>
        <v>0</v>
      </c>
      <c r="Y10" s="4">
        <f>IF($A10="","",COUNTIFS(RawData[Date],$A10,RawData[Slot],22))</f>
        <v>0</v>
      </c>
      <c r="Z10" s="4">
        <f>IF($A10="","",COUNTIFS(RawData[Date],$A10,RawData[Slot],23))</f>
        <v>0</v>
      </c>
      <c r="AA10" s="4">
        <f>IF($A10="","",COUNTIFS(RawData[Date],$A10,RawData[Slot],24))</f>
        <v>0</v>
      </c>
      <c r="AB10" s="4">
        <f>IF($A10="","",COUNTIFS(RawData[Date],$A10,RawData[Slot],25))</f>
        <v>0</v>
      </c>
      <c r="AC10" s="4">
        <f>IF($A10="","",COUNTIFS(RawData[Date],$A10,RawData[Slot],26))</f>
        <v>0</v>
      </c>
      <c r="AD10" s="4">
        <f>IF($A10="","",COUNTIFS(RawData[Date],$A10,RawData[Slot],27))</f>
        <v>0</v>
      </c>
      <c r="AE10" s="4">
        <f>IF($A10="","",COUNTIFS(RawData[Date],$A10,RawData[Slot],28))</f>
        <v>0</v>
      </c>
      <c r="AF10" s="4">
        <f>IF($A10="","",COUNTIFS(RawData[Date],$A10,RawData[Slot],29))</f>
        <v>0</v>
      </c>
      <c r="AG10" s="4">
        <f>IF($A10="","",COUNTIFS(RawData[Date],$A10,RawData[Slot],30))</f>
        <v>0</v>
      </c>
      <c r="AH10" s="4">
        <f>IF($A10="","",COUNTIFS(RawData[Date],$A10,RawData[Slot],31))</f>
        <v>0</v>
      </c>
      <c r="AI10" s="4">
        <f>IF($A10="","",COUNTIFS(RawData[Date],$A10,RawData[Slot],32))</f>
        <v>0</v>
      </c>
      <c r="AJ10" s="4">
        <f>IF($A10="","",COUNTIFS(RawData[Date],$A10,RawData[Slot],33))</f>
        <v>0</v>
      </c>
      <c r="AK10" s="4">
        <f>IF($A10="","",COUNTIFS(RawData[Date],$A10,RawData[Slot],34))</f>
        <v>0</v>
      </c>
      <c r="AL10" s="4">
        <f>IF($A10="","",COUNTIFS(RawData[Date],$A10,RawData[Slot],35))</f>
        <v>0</v>
      </c>
      <c r="AM10" s="4">
        <f>IF($A10="","",COUNTIFS(RawData[Date],$A10,RawData[Slot],36))</f>
        <v>0</v>
      </c>
      <c r="AN10" s="4">
        <f>IF($A10="","",COUNTIFS(RawData[Date],$A10,RawData[Slot],37))</f>
        <v>0</v>
      </c>
      <c r="AO10" s="4">
        <f>IF($A10="","",COUNTIFS(RawData[Date],$A10,RawData[Slot],38))</f>
        <v>0</v>
      </c>
      <c r="AP10" s="4">
        <f>IF($A10="","",COUNTIFS(RawData[Date],$A10,RawData[Slot],39))</f>
        <v>0</v>
      </c>
      <c r="AQ10" s="4">
        <f>IF($A10="","",COUNTIFS(RawData[Date],$A10,RawData[Slot],40))</f>
        <v>0</v>
      </c>
      <c r="AR10" s="4">
        <f>IF($A10="","",COUNTIFS(RawData[Date],$A10,RawData[Slot],41))</f>
        <v>0</v>
      </c>
      <c r="AS10" s="4">
        <f>IF($A10="","",COUNTIFS(RawData[Date],$A10,RawData[Slot],42))</f>
        <v>0</v>
      </c>
      <c r="AT10" s="4">
        <f>IF($A10="","",COUNTIFS(RawData[Date],$A10,RawData[Slot],43))</f>
        <v>0</v>
      </c>
      <c r="AU10" s="4">
        <f>IF($A10="","",COUNTIFS(RawData[Date],$A10,RawData[Slot],44))</f>
        <v>0</v>
      </c>
      <c r="AV10" s="4">
        <f>IF($A10="","",COUNTIFS(RawData[Date],$A10,RawData[Slot],45))</f>
        <v>0</v>
      </c>
      <c r="AW10" s="4">
        <f>IF($A10="","",COUNTIFS(RawData[Date],$A10,RawData[Slot],46))</f>
        <v>0</v>
      </c>
      <c r="AX10" s="4">
        <f>IF($A10="","",COUNTIFS(RawData[Date],$A10,RawData[Slot],47))</f>
        <v>0</v>
      </c>
      <c r="AY10" s="4">
        <f t="shared" si="1"/>
        <v>0</v>
      </c>
    </row>
    <row r="11" spans="1:51" x14ac:dyDescent="0.25">
      <c r="A11" s="7"/>
      <c r="B11" s="4" t="str">
        <f t="shared" si="0"/>
        <v/>
      </c>
      <c r="C11" s="4" t="str">
        <f>IF($A11="","",COUNTIFS(RawData[Date],$A11,RawData[Slot],0))</f>
        <v/>
      </c>
      <c r="D11" s="4" t="str">
        <f>IF($A11="","",COUNTIFS(RawData[Date],$A11,RawData[Slot],1))</f>
        <v/>
      </c>
      <c r="E11" s="4" t="str">
        <f>IF($A11="","",COUNTIFS(RawData[Date],$A11,RawData[Slot],2))</f>
        <v/>
      </c>
      <c r="F11" s="4" t="str">
        <f>IF($A11="","",COUNTIFS(RawData[Date],$A11,RawData[Slot],3))</f>
        <v/>
      </c>
      <c r="G11" s="4" t="str">
        <f>IF($A11="","",COUNTIFS(RawData[Date],$A11,RawData[Slot],4))</f>
        <v/>
      </c>
      <c r="H11" s="4" t="str">
        <f>IF($A11="","",COUNTIFS(RawData[Date],$A11,RawData[Slot],5))</f>
        <v/>
      </c>
      <c r="I11" s="4" t="str">
        <f>IF($A11="","",COUNTIFS(RawData[Date],$A11,RawData[Slot],6))</f>
        <v/>
      </c>
      <c r="J11" s="4" t="str">
        <f>IF($A11="","",COUNTIFS(RawData[Date],$A11,RawData[Slot],7))</f>
        <v/>
      </c>
      <c r="K11" s="4" t="str">
        <f>IF($A11="","",COUNTIFS(RawData[Date],$A11,RawData[Slot],8))</f>
        <v/>
      </c>
      <c r="L11" s="4" t="str">
        <f>IF($A11="","",COUNTIFS(RawData[Date],$A11,RawData[Slot],9))</f>
        <v/>
      </c>
      <c r="M11" s="4" t="str">
        <f>IF($A11="","",COUNTIFS(RawData[Date],$A11,RawData[Slot],10))</f>
        <v/>
      </c>
      <c r="N11" s="4" t="str">
        <f>IF($A11="","",COUNTIFS(RawData[Date],$A11,RawData[Slot],11))</f>
        <v/>
      </c>
      <c r="O11" s="4" t="str">
        <f>IF($A11="","",COUNTIFS(RawData[Date],$A11,RawData[Slot],12))</f>
        <v/>
      </c>
      <c r="P11" s="4" t="str">
        <f>IF($A11="","",COUNTIFS(RawData[Date],$A11,RawData[Slot],13))</f>
        <v/>
      </c>
      <c r="Q11" s="4" t="str">
        <f>IF($A11="","",COUNTIFS(RawData[Date],$A11,RawData[Slot],14))</f>
        <v/>
      </c>
      <c r="R11" s="4" t="str">
        <f>IF($A11="","",COUNTIFS(RawData[Date],$A11,RawData[Slot],15))</f>
        <v/>
      </c>
      <c r="S11" s="4" t="str">
        <f>IF($A11="","",COUNTIFS(RawData[Date],$A11,RawData[Slot],16))</f>
        <v/>
      </c>
      <c r="T11" s="4" t="str">
        <f>IF($A11="","",COUNTIFS(RawData[Date],$A11,RawData[Slot],17))</f>
        <v/>
      </c>
      <c r="U11" s="4" t="str">
        <f>IF($A11="","",COUNTIFS(RawData[Date],$A11,RawData[Slot],18))</f>
        <v/>
      </c>
      <c r="V11" s="4" t="str">
        <f>IF($A11="","",COUNTIFS(RawData[Date],$A11,RawData[Slot],19))</f>
        <v/>
      </c>
      <c r="W11" s="4" t="str">
        <f>IF($A11="","",COUNTIFS(RawData[Date],$A11,RawData[Slot],20))</f>
        <v/>
      </c>
      <c r="X11" s="4" t="str">
        <f>IF($A11="","",COUNTIFS(RawData[Date],$A11,RawData[Slot],21))</f>
        <v/>
      </c>
      <c r="Y11" s="4" t="str">
        <f>IF($A11="","",COUNTIFS(RawData[Date],$A11,RawData[Slot],22))</f>
        <v/>
      </c>
      <c r="Z11" s="4" t="str">
        <f>IF($A11="","",COUNTIFS(RawData[Date],$A11,RawData[Slot],23))</f>
        <v/>
      </c>
      <c r="AA11" s="4" t="str">
        <f>IF($A11="","",COUNTIFS(RawData[Date],$A11,RawData[Slot],24))</f>
        <v/>
      </c>
      <c r="AB11" s="4" t="str">
        <f>IF($A11="","",COUNTIFS(RawData[Date],$A11,RawData[Slot],25))</f>
        <v/>
      </c>
      <c r="AC11" s="4" t="str">
        <f>IF($A11="","",COUNTIFS(RawData[Date],$A11,RawData[Slot],26))</f>
        <v/>
      </c>
      <c r="AD11" s="4" t="str">
        <f>IF($A11="","",COUNTIFS(RawData[Date],$A11,RawData[Slot],27))</f>
        <v/>
      </c>
      <c r="AE11" s="4" t="str">
        <f>IF($A11="","",COUNTIFS(RawData[Date],$A11,RawData[Slot],28))</f>
        <v/>
      </c>
      <c r="AF11" s="4" t="str">
        <f>IF($A11="","",COUNTIFS(RawData[Date],$A11,RawData[Slot],29))</f>
        <v/>
      </c>
      <c r="AG11" s="4" t="str">
        <f>IF($A11="","",COUNTIFS(RawData[Date],$A11,RawData[Slot],30))</f>
        <v/>
      </c>
      <c r="AH11" s="4" t="str">
        <f>IF($A11="","",COUNTIFS(RawData[Date],$A11,RawData[Slot],31))</f>
        <v/>
      </c>
      <c r="AI11" s="4" t="str">
        <f>IF($A11="","",COUNTIFS(RawData[Date],$A11,RawData[Slot],32))</f>
        <v/>
      </c>
      <c r="AJ11" s="4" t="str">
        <f>IF($A11="","",COUNTIFS(RawData[Date],$A11,RawData[Slot],33))</f>
        <v/>
      </c>
      <c r="AK11" s="4" t="str">
        <f>IF($A11="","",COUNTIFS(RawData[Date],$A11,RawData[Slot],34))</f>
        <v/>
      </c>
      <c r="AL11" s="4" t="str">
        <f>IF($A11="","",COUNTIFS(RawData[Date],$A11,RawData[Slot],35))</f>
        <v/>
      </c>
      <c r="AM11" s="4" t="str">
        <f>IF($A11="","",COUNTIFS(RawData[Date],$A11,RawData[Slot],36))</f>
        <v/>
      </c>
      <c r="AN11" s="4" t="str">
        <f>IF($A11="","",COUNTIFS(RawData[Date],$A11,RawData[Slot],37))</f>
        <v/>
      </c>
      <c r="AO11" s="4" t="str">
        <f>IF($A11="","",COUNTIFS(RawData[Date],$A11,RawData[Slot],38))</f>
        <v/>
      </c>
      <c r="AP11" s="4" t="str">
        <f>IF($A11="","",COUNTIFS(RawData[Date],$A11,RawData[Slot],39))</f>
        <v/>
      </c>
      <c r="AQ11" s="4" t="str">
        <f>IF($A11="","",COUNTIFS(RawData[Date],$A11,RawData[Slot],40))</f>
        <v/>
      </c>
      <c r="AR11" s="4" t="str">
        <f>IF($A11="","",COUNTIFS(RawData[Date],$A11,RawData[Slot],41))</f>
        <v/>
      </c>
      <c r="AS11" s="4" t="str">
        <f>IF($A11="","",COUNTIFS(RawData[Date],$A11,RawData[Slot],42))</f>
        <v/>
      </c>
      <c r="AT11" s="4" t="str">
        <f>IF($A11="","",COUNTIFS(RawData[Date],$A11,RawData[Slot],43))</f>
        <v/>
      </c>
      <c r="AU11" s="4" t="str">
        <f>IF($A11="","",COUNTIFS(RawData[Date],$A11,RawData[Slot],44))</f>
        <v/>
      </c>
      <c r="AV11" s="4" t="str">
        <f>IF($A11="","",COUNTIFS(RawData[Date],$A11,RawData[Slot],45))</f>
        <v/>
      </c>
      <c r="AW11" s="4" t="str">
        <f>IF($A11="","",COUNTIFS(RawData[Date],$A11,RawData[Slot],46))</f>
        <v/>
      </c>
      <c r="AX11" s="4" t="str">
        <f>IF($A11="","",COUNTIFS(RawData[Date],$A11,RawData[Slot],47))</f>
        <v/>
      </c>
      <c r="AY11" s="4" t="str">
        <f t="shared" si="1"/>
        <v/>
      </c>
    </row>
    <row r="12" spans="1:51" x14ac:dyDescent="0.25">
      <c r="A12" s="7"/>
      <c r="B12" s="4" t="str">
        <f t="shared" si="0"/>
        <v/>
      </c>
      <c r="C12" s="4" t="str">
        <f>IF($A12="","",COUNTIFS(RawData[Date],$A12,RawData[Slot],0))</f>
        <v/>
      </c>
      <c r="D12" s="4" t="str">
        <f>IF($A12="","",COUNTIFS(RawData[Date],$A12,RawData[Slot],1))</f>
        <v/>
      </c>
      <c r="E12" s="4" t="str">
        <f>IF($A12="","",COUNTIFS(RawData[Date],$A12,RawData[Slot],2))</f>
        <v/>
      </c>
      <c r="F12" s="4" t="str">
        <f>IF($A12="","",COUNTIFS(RawData[Date],$A12,RawData[Slot],3))</f>
        <v/>
      </c>
      <c r="G12" s="4" t="str">
        <f>IF($A12="","",COUNTIFS(RawData[Date],$A12,RawData[Slot],4))</f>
        <v/>
      </c>
      <c r="H12" s="4" t="str">
        <f>IF($A12="","",COUNTIFS(RawData[Date],$A12,RawData[Slot],5))</f>
        <v/>
      </c>
      <c r="I12" s="4" t="str">
        <f>IF($A12="","",COUNTIFS(RawData[Date],$A12,RawData[Slot],6))</f>
        <v/>
      </c>
      <c r="J12" s="4" t="str">
        <f>IF($A12="","",COUNTIFS(RawData[Date],$A12,RawData[Slot],7))</f>
        <v/>
      </c>
      <c r="K12" s="4" t="str">
        <f>IF($A12="","",COUNTIFS(RawData[Date],$A12,RawData[Slot],8))</f>
        <v/>
      </c>
      <c r="L12" s="4" t="str">
        <f>IF($A12="","",COUNTIFS(RawData[Date],$A12,RawData[Slot],9))</f>
        <v/>
      </c>
      <c r="M12" s="4" t="str">
        <f>IF($A12="","",COUNTIFS(RawData[Date],$A12,RawData[Slot],10))</f>
        <v/>
      </c>
      <c r="N12" s="4" t="str">
        <f>IF($A12="","",COUNTIFS(RawData[Date],$A12,RawData[Slot],11))</f>
        <v/>
      </c>
      <c r="O12" s="4" t="str">
        <f>IF($A12="","",COUNTIFS(RawData[Date],$A12,RawData[Slot],12))</f>
        <v/>
      </c>
      <c r="P12" s="4" t="str">
        <f>IF($A12="","",COUNTIFS(RawData[Date],$A12,RawData[Slot],13))</f>
        <v/>
      </c>
      <c r="Q12" s="4" t="str">
        <f>IF($A12="","",COUNTIFS(RawData[Date],$A12,RawData[Slot],14))</f>
        <v/>
      </c>
      <c r="R12" s="4" t="str">
        <f>IF($A12="","",COUNTIFS(RawData[Date],$A12,RawData[Slot],15))</f>
        <v/>
      </c>
      <c r="S12" s="4" t="str">
        <f>IF($A12="","",COUNTIFS(RawData[Date],$A12,RawData[Slot],16))</f>
        <v/>
      </c>
      <c r="T12" s="4" t="str">
        <f>IF($A12="","",COUNTIFS(RawData[Date],$A12,RawData[Slot],17))</f>
        <v/>
      </c>
      <c r="U12" s="4" t="str">
        <f>IF($A12="","",COUNTIFS(RawData[Date],$A12,RawData[Slot],18))</f>
        <v/>
      </c>
      <c r="V12" s="4" t="str">
        <f>IF($A12="","",COUNTIFS(RawData[Date],$A12,RawData[Slot],19))</f>
        <v/>
      </c>
      <c r="W12" s="4" t="str">
        <f>IF($A12="","",COUNTIFS(RawData[Date],$A12,RawData[Slot],20))</f>
        <v/>
      </c>
      <c r="X12" s="4" t="str">
        <f>IF($A12="","",COUNTIFS(RawData[Date],$A12,RawData[Slot],21))</f>
        <v/>
      </c>
      <c r="Y12" s="4" t="str">
        <f>IF($A12="","",COUNTIFS(RawData[Date],$A12,RawData[Slot],22))</f>
        <v/>
      </c>
      <c r="Z12" s="4" t="str">
        <f>IF($A12="","",COUNTIFS(RawData[Date],$A12,RawData[Slot],23))</f>
        <v/>
      </c>
      <c r="AA12" s="4" t="str">
        <f>IF($A12="","",COUNTIFS(RawData[Date],$A12,RawData[Slot],24))</f>
        <v/>
      </c>
      <c r="AB12" s="4" t="str">
        <f>IF($A12="","",COUNTIFS(RawData[Date],$A12,RawData[Slot],25))</f>
        <v/>
      </c>
      <c r="AC12" s="4" t="str">
        <f>IF($A12="","",COUNTIFS(RawData[Date],$A12,RawData[Slot],26))</f>
        <v/>
      </c>
      <c r="AD12" s="4" t="str">
        <f>IF($A12="","",COUNTIFS(RawData[Date],$A12,RawData[Slot],27))</f>
        <v/>
      </c>
      <c r="AE12" s="4" t="str">
        <f>IF($A12="","",COUNTIFS(RawData[Date],$A12,RawData[Slot],28))</f>
        <v/>
      </c>
      <c r="AF12" s="4" t="str">
        <f>IF($A12="","",COUNTIFS(RawData[Date],$A12,RawData[Slot],29))</f>
        <v/>
      </c>
      <c r="AG12" s="4" t="str">
        <f>IF($A12="","",COUNTIFS(RawData[Date],$A12,RawData[Slot],30))</f>
        <v/>
      </c>
      <c r="AH12" s="4" t="str">
        <f>IF($A12="","",COUNTIFS(RawData[Date],$A12,RawData[Slot],31))</f>
        <v/>
      </c>
      <c r="AI12" s="4" t="str">
        <f>IF($A12="","",COUNTIFS(RawData[Date],$A12,RawData[Slot],32))</f>
        <v/>
      </c>
      <c r="AJ12" s="4" t="str">
        <f>IF($A12="","",COUNTIFS(RawData[Date],$A12,RawData[Slot],33))</f>
        <v/>
      </c>
      <c r="AK12" s="4" t="str">
        <f>IF($A12="","",COUNTIFS(RawData[Date],$A12,RawData[Slot],34))</f>
        <v/>
      </c>
      <c r="AL12" s="4" t="str">
        <f>IF($A12="","",COUNTIFS(RawData[Date],$A12,RawData[Slot],35))</f>
        <v/>
      </c>
      <c r="AM12" s="4" t="str">
        <f>IF($A12="","",COUNTIFS(RawData[Date],$A12,RawData[Slot],36))</f>
        <v/>
      </c>
      <c r="AN12" s="4" t="str">
        <f>IF($A12="","",COUNTIFS(RawData[Date],$A12,RawData[Slot],37))</f>
        <v/>
      </c>
      <c r="AO12" s="4" t="str">
        <f>IF($A12="","",COUNTIFS(RawData[Date],$A12,RawData[Slot],38))</f>
        <v/>
      </c>
      <c r="AP12" s="4" t="str">
        <f>IF($A12="","",COUNTIFS(RawData[Date],$A12,RawData[Slot],39))</f>
        <v/>
      </c>
      <c r="AQ12" s="4" t="str">
        <f>IF($A12="","",COUNTIFS(RawData[Date],$A12,RawData[Slot],40))</f>
        <v/>
      </c>
      <c r="AR12" s="4" t="str">
        <f>IF($A12="","",COUNTIFS(RawData[Date],$A12,RawData[Slot],41))</f>
        <v/>
      </c>
      <c r="AS12" s="4" t="str">
        <f>IF($A12="","",COUNTIFS(RawData[Date],$A12,RawData[Slot],42))</f>
        <v/>
      </c>
      <c r="AT12" s="4" t="str">
        <f>IF($A12="","",COUNTIFS(RawData[Date],$A12,RawData[Slot],43))</f>
        <v/>
      </c>
      <c r="AU12" s="4" t="str">
        <f>IF($A12="","",COUNTIFS(RawData[Date],$A12,RawData[Slot],44))</f>
        <v/>
      </c>
      <c r="AV12" s="4" t="str">
        <f>IF($A12="","",COUNTIFS(RawData[Date],$A12,RawData[Slot],45))</f>
        <v/>
      </c>
      <c r="AW12" s="4" t="str">
        <f>IF($A12="","",COUNTIFS(RawData[Date],$A12,RawData[Slot],46))</f>
        <v/>
      </c>
      <c r="AX12" s="4" t="str">
        <f>IF($A12="","",COUNTIFS(RawData[Date],$A12,RawData[Slot],47))</f>
        <v/>
      </c>
      <c r="AY12" s="4" t="str">
        <f t="shared" si="1"/>
        <v/>
      </c>
    </row>
    <row r="13" spans="1:51" x14ac:dyDescent="0.25">
      <c r="A13" s="7"/>
      <c r="B13" s="4" t="str">
        <f t="shared" si="0"/>
        <v/>
      </c>
      <c r="C13" s="4" t="str">
        <f>IF($A13="","",COUNTIFS(RawData[Date],$A13,RawData[Slot],0))</f>
        <v/>
      </c>
      <c r="D13" s="4" t="str">
        <f>IF($A13="","",COUNTIFS(RawData[Date],$A13,RawData[Slot],1))</f>
        <v/>
      </c>
      <c r="E13" s="4" t="str">
        <f>IF($A13="","",COUNTIFS(RawData[Date],$A13,RawData[Slot],2))</f>
        <v/>
      </c>
      <c r="F13" s="4" t="str">
        <f>IF($A13="","",COUNTIFS(RawData[Date],$A13,RawData[Slot],3))</f>
        <v/>
      </c>
      <c r="G13" s="4" t="str">
        <f>IF($A13="","",COUNTIFS(RawData[Date],$A13,RawData[Slot],4))</f>
        <v/>
      </c>
      <c r="H13" s="4" t="str">
        <f>IF($A13="","",COUNTIFS(RawData[Date],$A13,RawData[Slot],5))</f>
        <v/>
      </c>
      <c r="I13" s="4" t="str">
        <f>IF($A13="","",COUNTIFS(RawData[Date],$A13,RawData[Slot],6))</f>
        <v/>
      </c>
      <c r="J13" s="4" t="str">
        <f>IF($A13="","",COUNTIFS(RawData[Date],$A13,RawData[Slot],7))</f>
        <v/>
      </c>
      <c r="K13" s="4" t="str">
        <f>IF($A13="","",COUNTIFS(RawData[Date],$A13,RawData[Slot],8))</f>
        <v/>
      </c>
      <c r="L13" s="4" t="str">
        <f>IF($A13="","",COUNTIFS(RawData[Date],$A13,RawData[Slot],9))</f>
        <v/>
      </c>
      <c r="M13" s="4" t="str">
        <f>IF($A13="","",COUNTIFS(RawData[Date],$A13,RawData[Slot],10))</f>
        <v/>
      </c>
      <c r="N13" s="4" t="str">
        <f>IF($A13="","",COUNTIFS(RawData[Date],$A13,RawData[Slot],11))</f>
        <v/>
      </c>
      <c r="O13" s="4" t="str">
        <f>IF($A13="","",COUNTIFS(RawData[Date],$A13,RawData[Slot],12))</f>
        <v/>
      </c>
      <c r="P13" s="4" t="str">
        <f>IF($A13="","",COUNTIFS(RawData[Date],$A13,RawData[Slot],13))</f>
        <v/>
      </c>
      <c r="Q13" s="4" t="str">
        <f>IF($A13="","",COUNTIFS(RawData[Date],$A13,RawData[Slot],14))</f>
        <v/>
      </c>
      <c r="R13" s="4" t="str">
        <f>IF($A13="","",COUNTIFS(RawData[Date],$A13,RawData[Slot],15))</f>
        <v/>
      </c>
      <c r="S13" s="4" t="str">
        <f>IF($A13="","",COUNTIFS(RawData[Date],$A13,RawData[Slot],16))</f>
        <v/>
      </c>
      <c r="T13" s="4" t="str">
        <f>IF($A13="","",COUNTIFS(RawData[Date],$A13,RawData[Slot],17))</f>
        <v/>
      </c>
      <c r="U13" s="4" t="str">
        <f>IF($A13="","",COUNTIFS(RawData[Date],$A13,RawData[Slot],18))</f>
        <v/>
      </c>
      <c r="V13" s="4" t="str">
        <f>IF($A13="","",COUNTIFS(RawData[Date],$A13,RawData[Slot],19))</f>
        <v/>
      </c>
      <c r="W13" s="4" t="str">
        <f>IF($A13="","",COUNTIFS(RawData[Date],$A13,RawData[Slot],20))</f>
        <v/>
      </c>
      <c r="X13" s="4" t="str">
        <f>IF($A13="","",COUNTIFS(RawData[Date],$A13,RawData[Slot],21))</f>
        <v/>
      </c>
      <c r="Y13" s="4" t="str">
        <f>IF($A13="","",COUNTIFS(RawData[Date],$A13,RawData[Slot],22))</f>
        <v/>
      </c>
      <c r="Z13" s="4" t="str">
        <f>IF($A13="","",COUNTIFS(RawData[Date],$A13,RawData[Slot],23))</f>
        <v/>
      </c>
      <c r="AA13" s="4" t="str">
        <f>IF($A13="","",COUNTIFS(RawData[Date],$A13,RawData[Slot],24))</f>
        <v/>
      </c>
      <c r="AB13" s="4" t="str">
        <f>IF($A13="","",COUNTIFS(RawData[Date],$A13,RawData[Slot],25))</f>
        <v/>
      </c>
      <c r="AC13" s="4" t="str">
        <f>IF($A13="","",COUNTIFS(RawData[Date],$A13,RawData[Slot],26))</f>
        <v/>
      </c>
      <c r="AD13" s="4" t="str">
        <f>IF($A13="","",COUNTIFS(RawData[Date],$A13,RawData[Slot],27))</f>
        <v/>
      </c>
      <c r="AE13" s="4" t="str">
        <f>IF($A13="","",COUNTIFS(RawData[Date],$A13,RawData[Slot],28))</f>
        <v/>
      </c>
      <c r="AF13" s="4" t="str">
        <f>IF($A13="","",COUNTIFS(RawData[Date],$A13,RawData[Slot],29))</f>
        <v/>
      </c>
      <c r="AG13" s="4" t="str">
        <f>IF($A13="","",COUNTIFS(RawData[Date],$A13,RawData[Slot],30))</f>
        <v/>
      </c>
      <c r="AH13" s="4" t="str">
        <f>IF($A13="","",COUNTIFS(RawData[Date],$A13,RawData[Slot],31))</f>
        <v/>
      </c>
      <c r="AI13" s="4" t="str">
        <f>IF($A13="","",COUNTIFS(RawData[Date],$A13,RawData[Slot],32))</f>
        <v/>
      </c>
      <c r="AJ13" s="4" t="str">
        <f>IF($A13="","",COUNTIFS(RawData[Date],$A13,RawData[Slot],33))</f>
        <v/>
      </c>
      <c r="AK13" s="4" t="str">
        <f>IF($A13="","",COUNTIFS(RawData[Date],$A13,RawData[Slot],34))</f>
        <v/>
      </c>
      <c r="AL13" s="4" t="str">
        <f>IF($A13="","",COUNTIFS(RawData[Date],$A13,RawData[Slot],35))</f>
        <v/>
      </c>
      <c r="AM13" s="4" t="str">
        <f>IF($A13="","",COUNTIFS(RawData[Date],$A13,RawData[Slot],36))</f>
        <v/>
      </c>
      <c r="AN13" s="4" t="str">
        <f>IF($A13="","",COUNTIFS(RawData[Date],$A13,RawData[Slot],37))</f>
        <v/>
      </c>
      <c r="AO13" s="4" t="str">
        <f>IF($A13="","",COUNTIFS(RawData[Date],$A13,RawData[Slot],38))</f>
        <v/>
      </c>
      <c r="AP13" s="4" t="str">
        <f>IF($A13="","",COUNTIFS(RawData[Date],$A13,RawData[Slot],39))</f>
        <v/>
      </c>
      <c r="AQ13" s="4" t="str">
        <f>IF($A13="","",COUNTIFS(RawData[Date],$A13,RawData[Slot],40))</f>
        <v/>
      </c>
      <c r="AR13" s="4" t="str">
        <f>IF($A13="","",COUNTIFS(RawData[Date],$A13,RawData[Slot],41))</f>
        <v/>
      </c>
      <c r="AS13" s="4" t="str">
        <f>IF($A13="","",COUNTIFS(RawData[Date],$A13,RawData[Slot],42))</f>
        <v/>
      </c>
      <c r="AT13" s="4" t="str">
        <f>IF($A13="","",COUNTIFS(RawData[Date],$A13,RawData[Slot],43))</f>
        <v/>
      </c>
      <c r="AU13" s="4" t="str">
        <f>IF($A13="","",COUNTIFS(RawData[Date],$A13,RawData[Slot],44))</f>
        <v/>
      </c>
      <c r="AV13" s="4" t="str">
        <f>IF($A13="","",COUNTIFS(RawData[Date],$A13,RawData[Slot],45))</f>
        <v/>
      </c>
      <c r="AW13" s="4" t="str">
        <f>IF($A13="","",COUNTIFS(RawData[Date],$A13,RawData[Slot],46))</f>
        <v/>
      </c>
      <c r="AX13" s="4" t="str">
        <f>IF($A13="","",COUNTIFS(RawData[Date],$A13,RawData[Slot],47))</f>
        <v/>
      </c>
      <c r="AY13" s="4" t="str">
        <f t="shared" si="1"/>
        <v/>
      </c>
    </row>
    <row r="14" spans="1:51" x14ac:dyDescent="0.25">
      <c r="A14" s="7"/>
      <c r="B14" s="4" t="str">
        <f t="shared" si="0"/>
        <v/>
      </c>
      <c r="C14" s="4" t="str">
        <f>IF($A14="","",COUNTIFS(RawData[Date],$A14,RawData[Slot],0))</f>
        <v/>
      </c>
      <c r="D14" s="4" t="str">
        <f>IF($A14="","",COUNTIFS(RawData[Date],$A14,RawData[Slot],1))</f>
        <v/>
      </c>
      <c r="E14" s="4" t="str">
        <f>IF($A14="","",COUNTIFS(RawData[Date],$A14,RawData[Slot],2))</f>
        <v/>
      </c>
      <c r="F14" s="4" t="str">
        <f>IF($A14="","",COUNTIFS(RawData[Date],$A14,RawData[Slot],3))</f>
        <v/>
      </c>
      <c r="G14" s="4" t="str">
        <f>IF($A14="","",COUNTIFS(RawData[Date],$A14,RawData[Slot],4))</f>
        <v/>
      </c>
      <c r="H14" s="4" t="str">
        <f>IF($A14="","",COUNTIFS(RawData[Date],$A14,RawData[Slot],5))</f>
        <v/>
      </c>
      <c r="I14" s="4" t="str">
        <f>IF($A14="","",COUNTIFS(RawData[Date],$A14,RawData[Slot],6))</f>
        <v/>
      </c>
      <c r="J14" s="4" t="str">
        <f>IF($A14="","",COUNTIFS(RawData[Date],$A14,RawData[Slot],7))</f>
        <v/>
      </c>
      <c r="K14" s="4" t="str">
        <f>IF($A14="","",COUNTIFS(RawData[Date],$A14,RawData[Slot],8))</f>
        <v/>
      </c>
      <c r="L14" s="4" t="str">
        <f>IF($A14="","",COUNTIFS(RawData[Date],$A14,RawData[Slot],9))</f>
        <v/>
      </c>
      <c r="M14" s="4" t="str">
        <f>IF($A14="","",COUNTIFS(RawData[Date],$A14,RawData[Slot],10))</f>
        <v/>
      </c>
      <c r="N14" s="4" t="str">
        <f>IF($A14="","",COUNTIFS(RawData[Date],$A14,RawData[Slot],11))</f>
        <v/>
      </c>
      <c r="O14" s="4" t="str">
        <f>IF($A14="","",COUNTIFS(RawData[Date],$A14,RawData[Slot],12))</f>
        <v/>
      </c>
      <c r="P14" s="4" t="str">
        <f>IF($A14="","",COUNTIFS(RawData[Date],$A14,RawData[Slot],13))</f>
        <v/>
      </c>
      <c r="Q14" s="4" t="str">
        <f>IF($A14="","",COUNTIFS(RawData[Date],$A14,RawData[Slot],14))</f>
        <v/>
      </c>
      <c r="R14" s="4" t="str">
        <f>IF($A14="","",COUNTIFS(RawData[Date],$A14,RawData[Slot],15))</f>
        <v/>
      </c>
      <c r="S14" s="4" t="str">
        <f>IF($A14="","",COUNTIFS(RawData[Date],$A14,RawData[Slot],16))</f>
        <v/>
      </c>
      <c r="T14" s="4" t="str">
        <f>IF($A14="","",COUNTIFS(RawData[Date],$A14,RawData[Slot],17))</f>
        <v/>
      </c>
      <c r="U14" s="4" t="str">
        <f>IF($A14="","",COUNTIFS(RawData[Date],$A14,RawData[Slot],18))</f>
        <v/>
      </c>
      <c r="V14" s="4" t="str">
        <f>IF($A14="","",COUNTIFS(RawData[Date],$A14,RawData[Slot],19))</f>
        <v/>
      </c>
      <c r="W14" s="4" t="str">
        <f>IF($A14="","",COUNTIFS(RawData[Date],$A14,RawData[Slot],20))</f>
        <v/>
      </c>
      <c r="X14" s="4" t="str">
        <f>IF($A14="","",COUNTIFS(RawData[Date],$A14,RawData[Slot],21))</f>
        <v/>
      </c>
      <c r="Y14" s="4" t="str">
        <f>IF($A14="","",COUNTIFS(RawData[Date],$A14,RawData[Slot],22))</f>
        <v/>
      </c>
      <c r="Z14" s="4" t="str">
        <f>IF($A14="","",COUNTIFS(RawData[Date],$A14,RawData[Slot],23))</f>
        <v/>
      </c>
      <c r="AA14" s="4" t="str">
        <f>IF($A14="","",COUNTIFS(RawData[Date],$A14,RawData[Slot],24))</f>
        <v/>
      </c>
      <c r="AB14" s="4" t="str">
        <f>IF($A14="","",COUNTIFS(RawData[Date],$A14,RawData[Slot],25))</f>
        <v/>
      </c>
      <c r="AC14" s="4" t="str">
        <f>IF($A14="","",COUNTIFS(RawData[Date],$A14,RawData[Slot],26))</f>
        <v/>
      </c>
      <c r="AD14" s="4" t="str">
        <f>IF($A14="","",COUNTIFS(RawData[Date],$A14,RawData[Slot],27))</f>
        <v/>
      </c>
      <c r="AE14" s="4" t="str">
        <f>IF($A14="","",COUNTIFS(RawData[Date],$A14,RawData[Slot],28))</f>
        <v/>
      </c>
      <c r="AF14" s="4" t="str">
        <f>IF($A14="","",COUNTIFS(RawData[Date],$A14,RawData[Slot],29))</f>
        <v/>
      </c>
      <c r="AG14" s="4" t="str">
        <f>IF($A14="","",COUNTIFS(RawData[Date],$A14,RawData[Slot],30))</f>
        <v/>
      </c>
      <c r="AH14" s="4" t="str">
        <f>IF($A14="","",COUNTIFS(RawData[Date],$A14,RawData[Slot],31))</f>
        <v/>
      </c>
      <c r="AI14" s="4" t="str">
        <f>IF($A14="","",COUNTIFS(RawData[Date],$A14,RawData[Slot],32))</f>
        <v/>
      </c>
      <c r="AJ14" s="4" t="str">
        <f>IF($A14="","",COUNTIFS(RawData[Date],$A14,RawData[Slot],33))</f>
        <v/>
      </c>
      <c r="AK14" s="4" t="str">
        <f>IF($A14="","",COUNTIFS(RawData[Date],$A14,RawData[Slot],34))</f>
        <v/>
      </c>
      <c r="AL14" s="4" t="str">
        <f>IF($A14="","",COUNTIFS(RawData[Date],$A14,RawData[Slot],35))</f>
        <v/>
      </c>
      <c r="AM14" s="4" t="str">
        <f>IF($A14="","",COUNTIFS(RawData[Date],$A14,RawData[Slot],36))</f>
        <v/>
      </c>
      <c r="AN14" s="4" t="str">
        <f>IF($A14="","",COUNTIFS(RawData[Date],$A14,RawData[Slot],37))</f>
        <v/>
      </c>
      <c r="AO14" s="4" t="str">
        <f>IF($A14="","",COUNTIFS(RawData[Date],$A14,RawData[Slot],38))</f>
        <v/>
      </c>
      <c r="AP14" s="4" t="str">
        <f>IF($A14="","",COUNTIFS(RawData[Date],$A14,RawData[Slot],39))</f>
        <v/>
      </c>
      <c r="AQ14" s="4" t="str">
        <f>IF($A14="","",COUNTIFS(RawData[Date],$A14,RawData[Slot],40))</f>
        <v/>
      </c>
      <c r="AR14" s="4" t="str">
        <f>IF($A14="","",COUNTIFS(RawData[Date],$A14,RawData[Slot],41))</f>
        <v/>
      </c>
      <c r="AS14" s="4" t="str">
        <f>IF($A14="","",COUNTIFS(RawData[Date],$A14,RawData[Slot],42))</f>
        <v/>
      </c>
      <c r="AT14" s="4" t="str">
        <f>IF($A14="","",COUNTIFS(RawData[Date],$A14,RawData[Slot],43))</f>
        <v/>
      </c>
      <c r="AU14" s="4" t="str">
        <f>IF($A14="","",COUNTIFS(RawData[Date],$A14,RawData[Slot],44))</f>
        <v/>
      </c>
      <c r="AV14" s="4" t="str">
        <f>IF($A14="","",COUNTIFS(RawData[Date],$A14,RawData[Slot],45))</f>
        <v/>
      </c>
      <c r="AW14" s="4" t="str">
        <f>IF($A14="","",COUNTIFS(RawData[Date],$A14,RawData[Slot],46))</f>
        <v/>
      </c>
      <c r="AX14" s="4" t="str">
        <f>IF($A14="","",COUNTIFS(RawData[Date],$A14,RawData[Slot],47))</f>
        <v/>
      </c>
      <c r="AY14" s="4" t="str">
        <f t="shared" si="1"/>
        <v/>
      </c>
    </row>
    <row r="15" spans="1:51" x14ac:dyDescent="0.25">
      <c r="A15" s="7"/>
      <c r="B15" s="4" t="str">
        <f t="shared" si="0"/>
        <v/>
      </c>
      <c r="C15" s="4" t="str">
        <f>IF($A15="","",COUNTIFS(RawData[Date],$A15,RawData[Slot],0))</f>
        <v/>
      </c>
      <c r="D15" s="4" t="str">
        <f>IF($A15="","",COUNTIFS(RawData[Date],$A15,RawData[Slot],1))</f>
        <v/>
      </c>
      <c r="E15" s="4" t="str">
        <f>IF($A15="","",COUNTIFS(RawData[Date],$A15,RawData[Slot],2))</f>
        <v/>
      </c>
      <c r="F15" s="4" t="str">
        <f>IF($A15="","",COUNTIFS(RawData[Date],$A15,RawData[Slot],3))</f>
        <v/>
      </c>
      <c r="G15" s="4" t="str">
        <f>IF($A15="","",COUNTIFS(RawData[Date],$A15,RawData[Slot],4))</f>
        <v/>
      </c>
      <c r="H15" s="4" t="str">
        <f>IF($A15="","",COUNTIFS(RawData[Date],$A15,RawData[Slot],5))</f>
        <v/>
      </c>
      <c r="I15" s="4" t="str">
        <f>IF($A15="","",COUNTIFS(RawData[Date],$A15,RawData[Slot],6))</f>
        <v/>
      </c>
      <c r="J15" s="4" t="str">
        <f>IF($A15="","",COUNTIFS(RawData[Date],$A15,RawData[Slot],7))</f>
        <v/>
      </c>
      <c r="K15" s="4" t="str">
        <f>IF($A15="","",COUNTIFS(RawData[Date],$A15,RawData[Slot],8))</f>
        <v/>
      </c>
      <c r="L15" s="4" t="str">
        <f>IF($A15="","",COUNTIFS(RawData[Date],$A15,RawData[Slot],9))</f>
        <v/>
      </c>
      <c r="M15" s="4" t="str">
        <f>IF($A15="","",COUNTIFS(RawData[Date],$A15,RawData[Slot],10))</f>
        <v/>
      </c>
      <c r="N15" s="4" t="str">
        <f>IF($A15="","",COUNTIFS(RawData[Date],$A15,RawData[Slot],11))</f>
        <v/>
      </c>
      <c r="O15" s="4" t="str">
        <f>IF($A15="","",COUNTIFS(RawData[Date],$A15,RawData[Slot],12))</f>
        <v/>
      </c>
      <c r="P15" s="4" t="str">
        <f>IF($A15="","",COUNTIFS(RawData[Date],$A15,RawData[Slot],13))</f>
        <v/>
      </c>
      <c r="Q15" s="4" t="str">
        <f>IF($A15="","",COUNTIFS(RawData[Date],$A15,RawData[Slot],14))</f>
        <v/>
      </c>
      <c r="R15" s="4" t="str">
        <f>IF($A15="","",COUNTIFS(RawData[Date],$A15,RawData[Slot],15))</f>
        <v/>
      </c>
      <c r="S15" s="4" t="str">
        <f>IF($A15="","",COUNTIFS(RawData[Date],$A15,RawData[Slot],16))</f>
        <v/>
      </c>
      <c r="T15" s="4" t="str">
        <f>IF($A15="","",COUNTIFS(RawData[Date],$A15,RawData[Slot],17))</f>
        <v/>
      </c>
      <c r="U15" s="4" t="str">
        <f>IF($A15="","",COUNTIFS(RawData[Date],$A15,RawData[Slot],18))</f>
        <v/>
      </c>
      <c r="V15" s="4" t="str">
        <f>IF($A15="","",COUNTIFS(RawData[Date],$A15,RawData[Slot],19))</f>
        <v/>
      </c>
      <c r="W15" s="4" t="str">
        <f>IF($A15="","",COUNTIFS(RawData[Date],$A15,RawData[Slot],20))</f>
        <v/>
      </c>
      <c r="X15" s="4" t="str">
        <f>IF($A15="","",COUNTIFS(RawData[Date],$A15,RawData[Slot],21))</f>
        <v/>
      </c>
      <c r="Y15" s="4" t="str">
        <f>IF($A15="","",COUNTIFS(RawData[Date],$A15,RawData[Slot],22))</f>
        <v/>
      </c>
      <c r="Z15" s="4" t="str">
        <f>IF($A15="","",COUNTIFS(RawData[Date],$A15,RawData[Slot],23))</f>
        <v/>
      </c>
      <c r="AA15" s="4" t="str">
        <f>IF($A15="","",COUNTIFS(RawData[Date],$A15,RawData[Slot],24))</f>
        <v/>
      </c>
      <c r="AB15" s="4" t="str">
        <f>IF($A15="","",COUNTIFS(RawData[Date],$A15,RawData[Slot],25))</f>
        <v/>
      </c>
      <c r="AC15" s="4" t="str">
        <f>IF($A15="","",COUNTIFS(RawData[Date],$A15,RawData[Slot],26))</f>
        <v/>
      </c>
      <c r="AD15" s="4" t="str">
        <f>IF($A15="","",COUNTIFS(RawData[Date],$A15,RawData[Slot],27))</f>
        <v/>
      </c>
      <c r="AE15" s="4" t="str">
        <f>IF($A15="","",COUNTIFS(RawData[Date],$A15,RawData[Slot],28))</f>
        <v/>
      </c>
      <c r="AF15" s="4" t="str">
        <f>IF($A15="","",COUNTIFS(RawData[Date],$A15,RawData[Slot],29))</f>
        <v/>
      </c>
      <c r="AG15" s="4" t="str">
        <f>IF($A15="","",COUNTIFS(RawData[Date],$A15,RawData[Slot],30))</f>
        <v/>
      </c>
      <c r="AH15" s="4" t="str">
        <f>IF($A15="","",COUNTIFS(RawData[Date],$A15,RawData[Slot],31))</f>
        <v/>
      </c>
      <c r="AI15" s="4" t="str">
        <f>IF($A15="","",COUNTIFS(RawData[Date],$A15,RawData[Slot],32))</f>
        <v/>
      </c>
      <c r="AJ15" s="4" t="str">
        <f>IF($A15="","",COUNTIFS(RawData[Date],$A15,RawData[Slot],33))</f>
        <v/>
      </c>
      <c r="AK15" s="4" t="str">
        <f>IF($A15="","",COUNTIFS(RawData[Date],$A15,RawData[Slot],34))</f>
        <v/>
      </c>
      <c r="AL15" s="4" t="str">
        <f>IF($A15="","",COUNTIFS(RawData[Date],$A15,RawData[Slot],35))</f>
        <v/>
      </c>
      <c r="AM15" s="4" t="str">
        <f>IF($A15="","",COUNTIFS(RawData[Date],$A15,RawData[Slot],36))</f>
        <v/>
      </c>
      <c r="AN15" s="4" t="str">
        <f>IF($A15="","",COUNTIFS(RawData[Date],$A15,RawData[Slot],37))</f>
        <v/>
      </c>
      <c r="AO15" s="4" t="str">
        <f>IF($A15="","",COUNTIFS(RawData[Date],$A15,RawData[Slot],38))</f>
        <v/>
      </c>
      <c r="AP15" s="4" t="str">
        <f>IF($A15="","",COUNTIFS(RawData[Date],$A15,RawData[Slot],39))</f>
        <v/>
      </c>
      <c r="AQ15" s="4" t="str">
        <f>IF($A15="","",COUNTIFS(RawData[Date],$A15,RawData[Slot],40))</f>
        <v/>
      </c>
      <c r="AR15" s="4" t="str">
        <f>IF($A15="","",COUNTIFS(RawData[Date],$A15,RawData[Slot],41))</f>
        <v/>
      </c>
      <c r="AS15" s="4" t="str">
        <f>IF($A15="","",COUNTIFS(RawData[Date],$A15,RawData[Slot],42))</f>
        <v/>
      </c>
      <c r="AT15" s="4" t="str">
        <f>IF($A15="","",COUNTIFS(RawData[Date],$A15,RawData[Slot],43))</f>
        <v/>
      </c>
      <c r="AU15" s="4" t="str">
        <f>IF($A15="","",COUNTIFS(RawData[Date],$A15,RawData[Slot],44))</f>
        <v/>
      </c>
      <c r="AV15" s="4" t="str">
        <f>IF($A15="","",COUNTIFS(RawData[Date],$A15,RawData[Slot],45))</f>
        <v/>
      </c>
      <c r="AW15" s="4" t="str">
        <f>IF($A15="","",COUNTIFS(RawData[Date],$A15,RawData[Slot],46))</f>
        <v/>
      </c>
      <c r="AX15" s="4" t="str">
        <f>IF($A15="","",COUNTIFS(RawData[Date],$A15,RawData[Slot],47))</f>
        <v/>
      </c>
      <c r="AY15" s="4" t="str">
        <f t="shared" si="1"/>
        <v/>
      </c>
    </row>
    <row r="16" spans="1:51" x14ac:dyDescent="0.25">
      <c r="A16" s="7"/>
      <c r="B16" s="4" t="str">
        <f t="shared" si="0"/>
        <v/>
      </c>
      <c r="C16" s="4" t="str">
        <f>IF($A16="","",COUNTIFS(RawData[Date],$A16,RawData[Slot],0))</f>
        <v/>
      </c>
      <c r="D16" s="4" t="str">
        <f>IF($A16="","",COUNTIFS(RawData[Date],$A16,RawData[Slot],1))</f>
        <v/>
      </c>
      <c r="E16" s="4" t="str">
        <f>IF($A16="","",COUNTIFS(RawData[Date],$A16,RawData[Slot],2))</f>
        <v/>
      </c>
      <c r="F16" s="4" t="str">
        <f>IF($A16="","",COUNTIFS(RawData[Date],$A16,RawData[Slot],3))</f>
        <v/>
      </c>
      <c r="G16" s="4" t="str">
        <f>IF($A16="","",COUNTIFS(RawData[Date],$A16,RawData[Slot],4))</f>
        <v/>
      </c>
      <c r="H16" s="4" t="str">
        <f>IF($A16="","",COUNTIFS(RawData[Date],$A16,RawData[Slot],5))</f>
        <v/>
      </c>
      <c r="I16" s="4" t="str">
        <f>IF($A16="","",COUNTIFS(RawData[Date],$A16,RawData[Slot],6))</f>
        <v/>
      </c>
      <c r="J16" s="4" t="str">
        <f>IF($A16="","",COUNTIFS(RawData[Date],$A16,RawData[Slot],7))</f>
        <v/>
      </c>
      <c r="K16" s="4" t="str">
        <f>IF($A16="","",COUNTIFS(RawData[Date],$A16,RawData[Slot],8))</f>
        <v/>
      </c>
      <c r="L16" s="4" t="str">
        <f>IF($A16="","",COUNTIFS(RawData[Date],$A16,RawData[Slot],9))</f>
        <v/>
      </c>
      <c r="M16" s="4" t="str">
        <f>IF($A16="","",COUNTIFS(RawData[Date],$A16,RawData[Slot],10))</f>
        <v/>
      </c>
      <c r="N16" s="4" t="str">
        <f>IF($A16="","",COUNTIFS(RawData[Date],$A16,RawData[Slot],11))</f>
        <v/>
      </c>
      <c r="O16" s="4" t="str">
        <f>IF($A16="","",COUNTIFS(RawData[Date],$A16,RawData[Slot],12))</f>
        <v/>
      </c>
      <c r="P16" s="4" t="str">
        <f>IF($A16="","",COUNTIFS(RawData[Date],$A16,RawData[Slot],13))</f>
        <v/>
      </c>
      <c r="Q16" s="4" t="str">
        <f>IF($A16="","",COUNTIFS(RawData[Date],$A16,RawData[Slot],14))</f>
        <v/>
      </c>
      <c r="R16" s="4" t="str">
        <f>IF($A16="","",COUNTIFS(RawData[Date],$A16,RawData[Slot],15))</f>
        <v/>
      </c>
      <c r="S16" s="4" t="str">
        <f>IF($A16="","",COUNTIFS(RawData[Date],$A16,RawData[Slot],16))</f>
        <v/>
      </c>
      <c r="T16" s="4" t="str">
        <f>IF($A16="","",COUNTIFS(RawData[Date],$A16,RawData[Slot],17))</f>
        <v/>
      </c>
      <c r="U16" s="4" t="str">
        <f>IF($A16="","",COUNTIFS(RawData[Date],$A16,RawData[Slot],18))</f>
        <v/>
      </c>
      <c r="V16" s="4" t="str">
        <f>IF($A16="","",COUNTIFS(RawData[Date],$A16,RawData[Slot],19))</f>
        <v/>
      </c>
      <c r="W16" s="4" t="str">
        <f>IF($A16="","",COUNTIFS(RawData[Date],$A16,RawData[Slot],20))</f>
        <v/>
      </c>
      <c r="X16" s="4" t="str">
        <f>IF($A16="","",COUNTIFS(RawData[Date],$A16,RawData[Slot],21))</f>
        <v/>
      </c>
      <c r="Y16" s="4" t="str">
        <f>IF($A16="","",COUNTIFS(RawData[Date],$A16,RawData[Slot],22))</f>
        <v/>
      </c>
      <c r="Z16" s="4" t="str">
        <f>IF($A16="","",COUNTIFS(RawData[Date],$A16,RawData[Slot],23))</f>
        <v/>
      </c>
      <c r="AA16" s="4" t="str">
        <f>IF($A16="","",COUNTIFS(RawData[Date],$A16,RawData[Slot],24))</f>
        <v/>
      </c>
      <c r="AB16" s="4" t="str">
        <f>IF($A16="","",COUNTIFS(RawData[Date],$A16,RawData[Slot],25))</f>
        <v/>
      </c>
      <c r="AC16" s="4" t="str">
        <f>IF($A16="","",COUNTIFS(RawData[Date],$A16,RawData[Slot],26))</f>
        <v/>
      </c>
      <c r="AD16" s="4" t="str">
        <f>IF($A16="","",COUNTIFS(RawData[Date],$A16,RawData[Slot],27))</f>
        <v/>
      </c>
      <c r="AE16" s="4" t="str">
        <f>IF($A16="","",COUNTIFS(RawData[Date],$A16,RawData[Slot],28))</f>
        <v/>
      </c>
      <c r="AF16" s="4" t="str">
        <f>IF($A16="","",COUNTIFS(RawData[Date],$A16,RawData[Slot],29))</f>
        <v/>
      </c>
      <c r="AG16" s="4" t="str">
        <f>IF($A16="","",COUNTIFS(RawData[Date],$A16,RawData[Slot],30))</f>
        <v/>
      </c>
      <c r="AH16" s="4" t="str">
        <f>IF($A16="","",COUNTIFS(RawData[Date],$A16,RawData[Slot],31))</f>
        <v/>
      </c>
      <c r="AI16" s="4" t="str">
        <f>IF($A16="","",COUNTIFS(RawData[Date],$A16,RawData[Slot],32))</f>
        <v/>
      </c>
      <c r="AJ16" s="4" t="str">
        <f>IF($A16="","",COUNTIFS(RawData[Date],$A16,RawData[Slot],33))</f>
        <v/>
      </c>
      <c r="AK16" s="4" t="str">
        <f>IF($A16="","",COUNTIFS(RawData[Date],$A16,RawData[Slot],34))</f>
        <v/>
      </c>
      <c r="AL16" s="4" t="str">
        <f>IF($A16="","",COUNTIFS(RawData[Date],$A16,RawData[Slot],35))</f>
        <v/>
      </c>
      <c r="AM16" s="4" t="str">
        <f>IF($A16="","",COUNTIFS(RawData[Date],$A16,RawData[Slot],36))</f>
        <v/>
      </c>
      <c r="AN16" s="4" t="str">
        <f>IF($A16="","",COUNTIFS(RawData[Date],$A16,RawData[Slot],37))</f>
        <v/>
      </c>
      <c r="AO16" s="4" t="str">
        <f>IF($A16="","",COUNTIFS(RawData[Date],$A16,RawData[Slot],38))</f>
        <v/>
      </c>
      <c r="AP16" s="4" t="str">
        <f>IF($A16="","",COUNTIFS(RawData[Date],$A16,RawData[Slot],39))</f>
        <v/>
      </c>
      <c r="AQ16" s="4" t="str">
        <f>IF($A16="","",COUNTIFS(RawData[Date],$A16,RawData[Slot],40))</f>
        <v/>
      </c>
      <c r="AR16" s="4" t="str">
        <f>IF($A16="","",COUNTIFS(RawData[Date],$A16,RawData[Slot],41))</f>
        <v/>
      </c>
      <c r="AS16" s="4" t="str">
        <f>IF($A16="","",COUNTIFS(RawData[Date],$A16,RawData[Slot],42))</f>
        <v/>
      </c>
      <c r="AT16" s="4" t="str">
        <f>IF($A16="","",COUNTIFS(RawData[Date],$A16,RawData[Slot],43))</f>
        <v/>
      </c>
      <c r="AU16" s="4" t="str">
        <f>IF($A16="","",COUNTIFS(RawData[Date],$A16,RawData[Slot],44))</f>
        <v/>
      </c>
      <c r="AV16" s="4" t="str">
        <f>IF($A16="","",COUNTIFS(RawData[Date],$A16,RawData[Slot],45))</f>
        <v/>
      </c>
      <c r="AW16" s="4" t="str">
        <f>IF($A16="","",COUNTIFS(RawData[Date],$A16,RawData[Slot],46))</f>
        <v/>
      </c>
      <c r="AX16" s="4" t="str">
        <f>IF($A16="","",COUNTIFS(RawData[Date],$A16,RawData[Slot],47))</f>
        <v/>
      </c>
      <c r="AY16" s="4" t="str">
        <f t="shared" si="1"/>
        <v/>
      </c>
    </row>
    <row r="17" spans="1:51" x14ac:dyDescent="0.25">
      <c r="A17" s="7"/>
      <c r="B17" s="4" t="str">
        <f t="shared" si="0"/>
        <v/>
      </c>
      <c r="C17" s="4" t="str">
        <f>IF($A17="","",COUNTIFS(RawData[Date],$A17,RawData[Slot],0))</f>
        <v/>
      </c>
      <c r="D17" s="4" t="str">
        <f>IF($A17="","",COUNTIFS(RawData[Date],$A17,RawData[Slot],1))</f>
        <v/>
      </c>
      <c r="E17" s="4" t="str">
        <f>IF($A17="","",COUNTIFS(RawData[Date],$A17,RawData[Slot],2))</f>
        <v/>
      </c>
      <c r="F17" s="4" t="str">
        <f>IF($A17="","",COUNTIFS(RawData[Date],$A17,RawData[Slot],3))</f>
        <v/>
      </c>
      <c r="G17" s="4" t="str">
        <f>IF($A17="","",COUNTIFS(RawData[Date],$A17,RawData[Slot],4))</f>
        <v/>
      </c>
      <c r="H17" s="4" t="str">
        <f>IF($A17="","",COUNTIFS(RawData[Date],$A17,RawData[Slot],5))</f>
        <v/>
      </c>
      <c r="I17" s="4" t="str">
        <f>IF($A17="","",COUNTIFS(RawData[Date],$A17,RawData[Slot],6))</f>
        <v/>
      </c>
      <c r="J17" s="4" t="str">
        <f>IF($A17="","",COUNTIFS(RawData[Date],$A17,RawData[Slot],7))</f>
        <v/>
      </c>
      <c r="K17" s="4" t="str">
        <f>IF($A17="","",COUNTIFS(RawData[Date],$A17,RawData[Slot],8))</f>
        <v/>
      </c>
      <c r="L17" s="4" t="str">
        <f>IF($A17="","",COUNTIFS(RawData[Date],$A17,RawData[Slot],9))</f>
        <v/>
      </c>
      <c r="M17" s="4" t="str">
        <f>IF($A17="","",COUNTIFS(RawData[Date],$A17,RawData[Slot],10))</f>
        <v/>
      </c>
      <c r="N17" s="4" t="str">
        <f>IF($A17="","",COUNTIFS(RawData[Date],$A17,RawData[Slot],11))</f>
        <v/>
      </c>
      <c r="O17" s="4" t="str">
        <f>IF($A17="","",COUNTIFS(RawData[Date],$A17,RawData[Slot],12))</f>
        <v/>
      </c>
      <c r="P17" s="4" t="str">
        <f>IF($A17="","",COUNTIFS(RawData[Date],$A17,RawData[Slot],13))</f>
        <v/>
      </c>
      <c r="Q17" s="4" t="str">
        <f>IF($A17="","",COUNTIFS(RawData[Date],$A17,RawData[Slot],14))</f>
        <v/>
      </c>
      <c r="R17" s="4" t="str">
        <f>IF($A17="","",COUNTIFS(RawData[Date],$A17,RawData[Slot],15))</f>
        <v/>
      </c>
      <c r="S17" s="4" t="str">
        <f>IF($A17="","",COUNTIFS(RawData[Date],$A17,RawData[Slot],16))</f>
        <v/>
      </c>
      <c r="T17" s="4" t="str">
        <f>IF($A17="","",COUNTIFS(RawData[Date],$A17,RawData[Slot],17))</f>
        <v/>
      </c>
      <c r="U17" s="4" t="str">
        <f>IF($A17="","",COUNTIFS(RawData[Date],$A17,RawData[Slot],18))</f>
        <v/>
      </c>
      <c r="V17" s="4" t="str">
        <f>IF($A17="","",COUNTIFS(RawData[Date],$A17,RawData[Slot],19))</f>
        <v/>
      </c>
      <c r="W17" s="4" t="str">
        <f>IF($A17="","",COUNTIFS(RawData[Date],$A17,RawData[Slot],20))</f>
        <v/>
      </c>
      <c r="X17" s="4" t="str">
        <f>IF($A17="","",COUNTIFS(RawData[Date],$A17,RawData[Slot],21))</f>
        <v/>
      </c>
      <c r="Y17" s="4" t="str">
        <f>IF($A17="","",COUNTIFS(RawData[Date],$A17,RawData[Slot],22))</f>
        <v/>
      </c>
      <c r="Z17" s="4" t="str">
        <f>IF($A17="","",COUNTIFS(RawData[Date],$A17,RawData[Slot],23))</f>
        <v/>
      </c>
      <c r="AA17" s="4" t="str">
        <f>IF($A17="","",COUNTIFS(RawData[Date],$A17,RawData[Slot],24))</f>
        <v/>
      </c>
      <c r="AB17" s="4" t="str">
        <f>IF($A17="","",COUNTIFS(RawData[Date],$A17,RawData[Slot],25))</f>
        <v/>
      </c>
      <c r="AC17" s="4" t="str">
        <f>IF($A17="","",COUNTIFS(RawData[Date],$A17,RawData[Slot],26))</f>
        <v/>
      </c>
      <c r="AD17" s="4" t="str">
        <f>IF($A17="","",COUNTIFS(RawData[Date],$A17,RawData[Slot],27))</f>
        <v/>
      </c>
      <c r="AE17" s="4" t="str">
        <f>IF($A17="","",COUNTIFS(RawData[Date],$A17,RawData[Slot],28))</f>
        <v/>
      </c>
      <c r="AF17" s="4" t="str">
        <f>IF($A17="","",COUNTIFS(RawData[Date],$A17,RawData[Slot],29))</f>
        <v/>
      </c>
      <c r="AG17" s="4" t="str">
        <f>IF($A17="","",COUNTIFS(RawData[Date],$A17,RawData[Slot],30))</f>
        <v/>
      </c>
      <c r="AH17" s="4" t="str">
        <f>IF($A17="","",COUNTIFS(RawData[Date],$A17,RawData[Slot],31))</f>
        <v/>
      </c>
      <c r="AI17" s="4" t="str">
        <f>IF($A17="","",COUNTIFS(RawData[Date],$A17,RawData[Slot],32))</f>
        <v/>
      </c>
      <c r="AJ17" s="4" t="str">
        <f>IF($A17="","",COUNTIFS(RawData[Date],$A17,RawData[Slot],33))</f>
        <v/>
      </c>
      <c r="AK17" s="4" t="str">
        <f>IF($A17="","",COUNTIFS(RawData[Date],$A17,RawData[Slot],34))</f>
        <v/>
      </c>
      <c r="AL17" s="4" t="str">
        <f>IF($A17="","",COUNTIFS(RawData[Date],$A17,RawData[Slot],35))</f>
        <v/>
      </c>
      <c r="AM17" s="4" t="str">
        <f>IF($A17="","",COUNTIFS(RawData[Date],$A17,RawData[Slot],36))</f>
        <v/>
      </c>
      <c r="AN17" s="4" t="str">
        <f>IF($A17="","",COUNTIFS(RawData[Date],$A17,RawData[Slot],37))</f>
        <v/>
      </c>
      <c r="AO17" s="4" t="str">
        <f>IF($A17="","",COUNTIFS(RawData[Date],$A17,RawData[Slot],38))</f>
        <v/>
      </c>
      <c r="AP17" s="4" t="str">
        <f>IF($A17="","",COUNTIFS(RawData[Date],$A17,RawData[Slot],39))</f>
        <v/>
      </c>
      <c r="AQ17" s="4" t="str">
        <f>IF($A17="","",COUNTIFS(RawData[Date],$A17,RawData[Slot],40))</f>
        <v/>
      </c>
      <c r="AR17" s="4" t="str">
        <f>IF($A17="","",COUNTIFS(RawData[Date],$A17,RawData[Slot],41))</f>
        <v/>
      </c>
      <c r="AS17" s="4" t="str">
        <f>IF($A17="","",COUNTIFS(RawData[Date],$A17,RawData[Slot],42))</f>
        <v/>
      </c>
      <c r="AT17" s="4" t="str">
        <f>IF($A17="","",COUNTIFS(RawData[Date],$A17,RawData[Slot],43))</f>
        <v/>
      </c>
      <c r="AU17" s="4" t="str">
        <f>IF($A17="","",COUNTIFS(RawData[Date],$A17,RawData[Slot],44))</f>
        <v/>
      </c>
      <c r="AV17" s="4" t="str">
        <f>IF($A17="","",COUNTIFS(RawData[Date],$A17,RawData[Slot],45))</f>
        <v/>
      </c>
      <c r="AW17" s="4" t="str">
        <f>IF($A17="","",COUNTIFS(RawData[Date],$A17,RawData[Slot],46))</f>
        <v/>
      </c>
      <c r="AX17" s="4" t="str">
        <f>IF($A17="","",COUNTIFS(RawData[Date],$A17,RawData[Slot],47))</f>
        <v/>
      </c>
      <c r="AY17" s="4" t="str">
        <f t="shared" si="1"/>
        <v/>
      </c>
    </row>
    <row r="18" spans="1:51" x14ac:dyDescent="0.25">
      <c r="A18" s="7"/>
      <c r="B18" s="4" t="str">
        <f t="shared" si="0"/>
        <v/>
      </c>
      <c r="C18" s="4" t="str">
        <f>IF($A18="","",COUNTIFS(RawData[Date],$A18,RawData[Slot],0))</f>
        <v/>
      </c>
      <c r="D18" s="4" t="str">
        <f>IF($A18="","",COUNTIFS(RawData[Date],$A18,RawData[Slot],1))</f>
        <v/>
      </c>
      <c r="E18" s="4" t="str">
        <f>IF($A18="","",COUNTIFS(RawData[Date],$A18,RawData[Slot],2))</f>
        <v/>
      </c>
      <c r="F18" s="4" t="str">
        <f>IF($A18="","",COUNTIFS(RawData[Date],$A18,RawData[Slot],3))</f>
        <v/>
      </c>
      <c r="G18" s="4" t="str">
        <f>IF($A18="","",COUNTIFS(RawData[Date],$A18,RawData[Slot],4))</f>
        <v/>
      </c>
      <c r="H18" s="4" t="str">
        <f>IF($A18="","",COUNTIFS(RawData[Date],$A18,RawData[Slot],5))</f>
        <v/>
      </c>
      <c r="I18" s="4" t="str">
        <f>IF($A18="","",COUNTIFS(RawData[Date],$A18,RawData[Slot],6))</f>
        <v/>
      </c>
      <c r="J18" s="4" t="str">
        <f>IF($A18="","",COUNTIFS(RawData[Date],$A18,RawData[Slot],7))</f>
        <v/>
      </c>
      <c r="K18" s="4" t="str">
        <f>IF($A18="","",COUNTIFS(RawData[Date],$A18,RawData[Slot],8))</f>
        <v/>
      </c>
      <c r="L18" s="4" t="str">
        <f>IF($A18="","",COUNTIFS(RawData[Date],$A18,RawData[Slot],9))</f>
        <v/>
      </c>
      <c r="M18" s="4" t="str">
        <f>IF($A18="","",COUNTIFS(RawData[Date],$A18,RawData[Slot],10))</f>
        <v/>
      </c>
      <c r="N18" s="4" t="str">
        <f>IF($A18="","",COUNTIFS(RawData[Date],$A18,RawData[Slot],11))</f>
        <v/>
      </c>
      <c r="O18" s="4" t="str">
        <f>IF($A18="","",COUNTIFS(RawData[Date],$A18,RawData[Slot],12))</f>
        <v/>
      </c>
      <c r="P18" s="4" t="str">
        <f>IF($A18="","",COUNTIFS(RawData[Date],$A18,RawData[Slot],13))</f>
        <v/>
      </c>
      <c r="Q18" s="4" t="str">
        <f>IF($A18="","",COUNTIFS(RawData[Date],$A18,RawData[Slot],14))</f>
        <v/>
      </c>
      <c r="R18" s="4" t="str">
        <f>IF($A18="","",COUNTIFS(RawData[Date],$A18,RawData[Slot],15))</f>
        <v/>
      </c>
      <c r="S18" s="4" t="str">
        <f>IF($A18="","",COUNTIFS(RawData[Date],$A18,RawData[Slot],16))</f>
        <v/>
      </c>
      <c r="T18" s="4" t="str">
        <f>IF($A18="","",COUNTIFS(RawData[Date],$A18,RawData[Slot],17))</f>
        <v/>
      </c>
      <c r="U18" s="4" t="str">
        <f>IF($A18="","",COUNTIFS(RawData[Date],$A18,RawData[Slot],18))</f>
        <v/>
      </c>
      <c r="V18" s="4" t="str">
        <f>IF($A18="","",COUNTIFS(RawData[Date],$A18,RawData[Slot],19))</f>
        <v/>
      </c>
      <c r="W18" s="4" t="str">
        <f>IF($A18="","",COUNTIFS(RawData[Date],$A18,RawData[Slot],20))</f>
        <v/>
      </c>
      <c r="X18" s="4" t="str">
        <f>IF($A18="","",COUNTIFS(RawData[Date],$A18,RawData[Slot],21))</f>
        <v/>
      </c>
      <c r="Y18" s="4" t="str">
        <f>IF($A18="","",COUNTIFS(RawData[Date],$A18,RawData[Slot],22))</f>
        <v/>
      </c>
      <c r="Z18" s="4" t="str">
        <f>IF($A18="","",COUNTIFS(RawData[Date],$A18,RawData[Slot],23))</f>
        <v/>
      </c>
      <c r="AA18" s="4" t="str">
        <f>IF($A18="","",COUNTIFS(RawData[Date],$A18,RawData[Slot],24))</f>
        <v/>
      </c>
      <c r="AB18" s="4" t="str">
        <f>IF($A18="","",COUNTIFS(RawData[Date],$A18,RawData[Slot],25))</f>
        <v/>
      </c>
      <c r="AC18" s="4" t="str">
        <f>IF($A18="","",COUNTIFS(RawData[Date],$A18,RawData[Slot],26))</f>
        <v/>
      </c>
      <c r="AD18" s="4" t="str">
        <f>IF($A18="","",COUNTIFS(RawData[Date],$A18,RawData[Slot],27))</f>
        <v/>
      </c>
      <c r="AE18" s="4" t="str">
        <f>IF($A18="","",COUNTIFS(RawData[Date],$A18,RawData[Slot],28))</f>
        <v/>
      </c>
      <c r="AF18" s="4" t="str">
        <f>IF($A18="","",COUNTIFS(RawData[Date],$A18,RawData[Slot],29))</f>
        <v/>
      </c>
      <c r="AG18" s="4" t="str">
        <f>IF($A18="","",COUNTIFS(RawData[Date],$A18,RawData[Slot],30))</f>
        <v/>
      </c>
      <c r="AH18" s="4" t="str">
        <f>IF($A18="","",COUNTIFS(RawData[Date],$A18,RawData[Slot],31))</f>
        <v/>
      </c>
      <c r="AI18" s="4" t="str">
        <f>IF($A18="","",COUNTIFS(RawData[Date],$A18,RawData[Slot],32))</f>
        <v/>
      </c>
      <c r="AJ18" s="4" t="str">
        <f>IF($A18="","",COUNTIFS(RawData[Date],$A18,RawData[Slot],33))</f>
        <v/>
      </c>
      <c r="AK18" s="4" t="str">
        <f>IF($A18="","",COUNTIFS(RawData[Date],$A18,RawData[Slot],34))</f>
        <v/>
      </c>
      <c r="AL18" s="4" t="str">
        <f>IF($A18="","",COUNTIFS(RawData[Date],$A18,RawData[Slot],35))</f>
        <v/>
      </c>
      <c r="AM18" s="4" t="str">
        <f>IF($A18="","",COUNTIFS(RawData[Date],$A18,RawData[Slot],36))</f>
        <v/>
      </c>
      <c r="AN18" s="4" t="str">
        <f>IF($A18="","",COUNTIFS(RawData[Date],$A18,RawData[Slot],37))</f>
        <v/>
      </c>
      <c r="AO18" s="4" t="str">
        <f>IF($A18="","",COUNTIFS(RawData[Date],$A18,RawData[Slot],38))</f>
        <v/>
      </c>
      <c r="AP18" s="4" t="str">
        <f>IF($A18="","",COUNTIFS(RawData[Date],$A18,RawData[Slot],39))</f>
        <v/>
      </c>
      <c r="AQ18" s="4" t="str">
        <f>IF($A18="","",COUNTIFS(RawData[Date],$A18,RawData[Slot],40))</f>
        <v/>
      </c>
      <c r="AR18" s="4" t="str">
        <f>IF($A18="","",COUNTIFS(RawData[Date],$A18,RawData[Slot],41))</f>
        <v/>
      </c>
      <c r="AS18" s="4" t="str">
        <f>IF($A18="","",COUNTIFS(RawData[Date],$A18,RawData[Slot],42))</f>
        <v/>
      </c>
      <c r="AT18" s="4" t="str">
        <f>IF($A18="","",COUNTIFS(RawData[Date],$A18,RawData[Slot],43))</f>
        <v/>
      </c>
      <c r="AU18" s="4" t="str">
        <f>IF($A18="","",COUNTIFS(RawData[Date],$A18,RawData[Slot],44))</f>
        <v/>
      </c>
      <c r="AV18" s="4" t="str">
        <f>IF($A18="","",COUNTIFS(RawData[Date],$A18,RawData[Slot],45))</f>
        <v/>
      </c>
      <c r="AW18" s="4" t="str">
        <f>IF($A18="","",COUNTIFS(RawData[Date],$A18,RawData[Slot],46))</f>
        <v/>
      </c>
      <c r="AX18" s="4" t="str">
        <f>IF($A18="","",COUNTIFS(RawData[Date],$A18,RawData[Slot],47))</f>
        <v/>
      </c>
      <c r="AY18" s="4" t="str">
        <f t="shared" si="1"/>
        <v/>
      </c>
    </row>
    <row r="19" spans="1:51" x14ac:dyDescent="0.25">
      <c r="A19" s="7"/>
      <c r="B19" s="4" t="str">
        <f t="shared" si="0"/>
        <v/>
      </c>
      <c r="C19" s="4" t="str">
        <f>IF($A19="","",COUNTIFS(RawData[Date],$A19,RawData[Slot],0))</f>
        <v/>
      </c>
      <c r="D19" s="4" t="str">
        <f>IF($A19="","",COUNTIFS(RawData[Date],$A19,RawData[Slot],1))</f>
        <v/>
      </c>
      <c r="E19" s="4" t="str">
        <f>IF($A19="","",COUNTIFS(RawData[Date],$A19,RawData[Slot],2))</f>
        <v/>
      </c>
      <c r="F19" s="4" t="str">
        <f>IF($A19="","",COUNTIFS(RawData[Date],$A19,RawData[Slot],3))</f>
        <v/>
      </c>
      <c r="G19" s="4" t="str">
        <f>IF($A19="","",COUNTIFS(RawData[Date],$A19,RawData[Slot],4))</f>
        <v/>
      </c>
      <c r="H19" s="4" t="str">
        <f>IF($A19="","",COUNTIFS(RawData[Date],$A19,RawData[Slot],5))</f>
        <v/>
      </c>
      <c r="I19" s="4" t="str">
        <f>IF($A19="","",COUNTIFS(RawData[Date],$A19,RawData[Slot],6))</f>
        <v/>
      </c>
      <c r="J19" s="4" t="str">
        <f>IF($A19="","",COUNTIFS(RawData[Date],$A19,RawData[Slot],7))</f>
        <v/>
      </c>
      <c r="K19" s="4" t="str">
        <f>IF($A19="","",COUNTIFS(RawData[Date],$A19,RawData[Slot],8))</f>
        <v/>
      </c>
      <c r="L19" s="4" t="str">
        <f>IF($A19="","",COUNTIFS(RawData[Date],$A19,RawData[Slot],9))</f>
        <v/>
      </c>
      <c r="M19" s="4" t="str">
        <f>IF($A19="","",COUNTIFS(RawData[Date],$A19,RawData[Slot],10))</f>
        <v/>
      </c>
      <c r="N19" s="4" t="str">
        <f>IF($A19="","",COUNTIFS(RawData[Date],$A19,RawData[Slot],11))</f>
        <v/>
      </c>
      <c r="O19" s="4" t="str">
        <f>IF($A19="","",COUNTIFS(RawData[Date],$A19,RawData[Slot],12))</f>
        <v/>
      </c>
      <c r="P19" s="4" t="str">
        <f>IF($A19="","",COUNTIFS(RawData[Date],$A19,RawData[Slot],13))</f>
        <v/>
      </c>
      <c r="Q19" s="4" t="str">
        <f>IF($A19="","",COUNTIFS(RawData[Date],$A19,RawData[Slot],14))</f>
        <v/>
      </c>
      <c r="R19" s="4" t="str">
        <f>IF($A19="","",COUNTIFS(RawData[Date],$A19,RawData[Slot],15))</f>
        <v/>
      </c>
      <c r="S19" s="4" t="str">
        <f>IF($A19="","",COUNTIFS(RawData[Date],$A19,RawData[Slot],16))</f>
        <v/>
      </c>
      <c r="T19" s="4" t="str">
        <f>IF($A19="","",COUNTIFS(RawData[Date],$A19,RawData[Slot],17))</f>
        <v/>
      </c>
      <c r="U19" s="4" t="str">
        <f>IF($A19="","",COUNTIFS(RawData[Date],$A19,RawData[Slot],18))</f>
        <v/>
      </c>
      <c r="V19" s="4" t="str">
        <f>IF($A19="","",COUNTIFS(RawData[Date],$A19,RawData[Slot],19))</f>
        <v/>
      </c>
      <c r="W19" s="4" t="str">
        <f>IF($A19="","",COUNTIFS(RawData[Date],$A19,RawData[Slot],20))</f>
        <v/>
      </c>
      <c r="X19" s="4" t="str">
        <f>IF($A19="","",COUNTIFS(RawData[Date],$A19,RawData[Slot],21))</f>
        <v/>
      </c>
      <c r="Y19" s="4" t="str">
        <f>IF($A19="","",COUNTIFS(RawData[Date],$A19,RawData[Slot],22))</f>
        <v/>
      </c>
      <c r="Z19" s="4" t="str">
        <f>IF($A19="","",COUNTIFS(RawData[Date],$A19,RawData[Slot],23))</f>
        <v/>
      </c>
      <c r="AA19" s="4" t="str">
        <f>IF($A19="","",COUNTIFS(RawData[Date],$A19,RawData[Slot],24))</f>
        <v/>
      </c>
      <c r="AB19" s="4" t="str">
        <f>IF($A19="","",COUNTIFS(RawData[Date],$A19,RawData[Slot],25))</f>
        <v/>
      </c>
      <c r="AC19" s="4" t="str">
        <f>IF($A19="","",COUNTIFS(RawData[Date],$A19,RawData[Slot],26))</f>
        <v/>
      </c>
      <c r="AD19" s="4" t="str">
        <f>IF($A19="","",COUNTIFS(RawData[Date],$A19,RawData[Slot],27))</f>
        <v/>
      </c>
      <c r="AE19" s="4" t="str">
        <f>IF($A19="","",COUNTIFS(RawData[Date],$A19,RawData[Slot],28))</f>
        <v/>
      </c>
      <c r="AF19" s="4" t="str">
        <f>IF($A19="","",COUNTIFS(RawData[Date],$A19,RawData[Slot],29))</f>
        <v/>
      </c>
      <c r="AG19" s="4" t="str">
        <f>IF($A19="","",COUNTIFS(RawData[Date],$A19,RawData[Slot],30))</f>
        <v/>
      </c>
      <c r="AH19" s="4" t="str">
        <f>IF($A19="","",COUNTIFS(RawData[Date],$A19,RawData[Slot],31))</f>
        <v/>
      </c>
      <c r="AI19" s="4" t="str">
        <f>IF($A19="","",COUNTIFS(RawData[Date],$A19,RawData[Slot],32))</f>
        <v/>
      </c>
      <c r="AJ19" s="4" t="str">
        <f>IF($A19="","",COUNTIFS(RawData[Date],$A19,RawData[Slot],33))</f>
        <v/>
      </c>
      <c r="AK19" s="4" t="str">
        <f>IF($A19="","",COUNTIFS(RawData[Date],$A19,RawData[Slot],34))</f>
        <v/>
      </c>
      <c r="AL19" s="4" t="str">
        <f>IF($A19="","",COUNTIFS(RawData[Date],$A19,RawData[Slot],35))</f>
        <v/>
      </c>
      <c r="AM19" s="4" t="str">
        <f>IF($A19="","",COUNTIFS(RawData[Date],$A19,RawData[Slot],36))</f>
        <v/>
      </c>
      <c r="AN19" s="4" t="str">
        <f>IF($A19="","",COUNTIFS(RawData[Date],$A19,RawData[Slot],37))</f>
        <v/>
      </c>
      <c r="AO19" s="4" t="str">
        <f>IF($A19="","",COUNTIFS(RawData[Date],$A19,RawData[Slot],38))</f>
        <v/>
      </c>
      <c r="AP19" s="4" t="str">
        <f>IF($A19="","",COUNTIFS(RawData[Date],$A19,RawData[Slot],39))</f>
        <v/>
      </c>
      <c r="AQ19" s="4" t="str">
        <f>IF($A19="","",COUNTIFS(RawData[Date],$A19,RawData[Slot],40))</f>
        <v/>
      </c>
      <c r="AR19" s="4" t="str">
        <f>IF($A19="","",COUNTIFS(RawData[Date],$A19,RawData[Slot],41))</f>
        <v/>
      </c>
      <c r="AS19" s="4" t="str">
        <f>IF($A19="","",COUNTIFS(RawData[Date],$A19,RawData[Slot],42))</f>
        <v/>
      </c>
      <c r="AT19" s="4" t="str">
        <f>IF($A19="","",COUNTIFS(RawData[Date],$A19,RawData[Slot],43))</f>
        <v/>
      </c>
      <c r="AU19" s="4" t="str">
        <f>IF($A19="","",COUNTIFS(RawData[Date],$A19,RawData[Slot],44))</f>
        <v/>
      </c>
      <c r="AV19" s="4" t="str">
        <f>IF($A19="","",COUNTIFS(RawData[Date],$A19,RawData[Slot],45))</f>
        <v/>
      </c>
      <c r="AW19" s="4" t="str">
        <f>IF($A19="","",COUNTIFS(RawData[Date],$A19,RawData[Slot],46))</f>
        <v/>
      </c>
      <c r="AX19" s="4" t="str">
        <f>IF($A19="","",COUNTIFS(RawData[Date],$A19,RawData[Slot],47))</f>
        <v/>
      </c>
      <c r="AY19" s="4" t="str">
        <f t="shared" si="1"/>
        <v/>
      </c>
    </row>
    <row r="20" spans="1:51" x14ac:dyDescent="0.25">
      <c r="A20" s="7"/>
      <c r="B20" s="4" t="str">
        <f t="shared" si="0"/>
        <v/>
      </c>
      <c r="C20" s="4" t="str">
        <f>IF($A20="","",COUNTIFS(RawData[Date],$A20,RawData[Slot],0))</f>
        <v/>
      </c>
      <c r="D20" s="4" t="str">
        <f>IF($A20="","",COUNTIFS(RawData[Date],$A20,RawData[Slot],1))</f>
        <v/>
      </c>
      <c r="E20" s="4" t="str">
        <f>IF($A20="","",COUNTIFS(RawData[Date],$A20,RawData[Slot],2))</f>
        <v/>
      </c>
      <c r="F20" s="4" t="str">
        <f>IF($A20="","",COUNTIFS(RawData[Date],$A20,RawData[Slot],3))</f>
        <v/>
      </c>
      <c r="G20" s="4" t="str">
        <f>IF($A20="","",COUNTIFS(RawData[Date],$A20,RawData[Slot],4))</f>
        <v/>
      </c>
      <c r="H20" s="4" t="str">
        <f>IF($A20="","",COUNTIFS(RawData[Date],$A20,RawData[Slot],5))</f>
        <v/>
      </c>
      <c r="I20" s="4" t="str">
        <f>IF($A20="","",COUNTIFS(RawData[Date],$A20,RawData[Slot],6))</f>
        <v/>
      </c>
      <c r="J20" s="4" t="str">
        <f>IF($A20="","",COUNTIFS(RawData[Date],$A20,RawData[Slot],7))</f>
        <v/>
      </c>
      <c r="K20" s="4" t="str">
        <f>IF($A20="","",COUNTIFS(RawData[Date],$A20,RawData[Slot],8))</f>
        <v/>
      </c>
      <c r="L20" s="4" t="str">
        <f>IF($A20="","",COUNTIFS(RawData[Date],$A20,RawData[Slot],9))</f>
        <v/>
      </c>
      <c r="M20" s="4" t="str">
        <f>IF($A20="","",COUNTIFS(RawData[Date],$A20,RawData[Slot],10))</f>
        <v/>
      </c>
      <c r="N20" s="4" t="str">
        <f>IF($A20="","",COUNTIFS(RawData[Date],$A20,RawData[Slot],11))</f>
        <v/>
      </c>
      <c r="O20" s="4" t="str">
        <f>IF($A20="","",COUNTIFS(RawData[Date],$A20,RawData[Slot],12))</f>
        <v/>
      </c>
      <c r="P20" s="4" t="str">
        <f>IF($A20="","",COUNTIFS(RawData[Date],$A20,RawData[Slot],13))</f>
        <v/>
      </c>
      <c r="Q20" s="4" t="str">
        <f>IF($A20="","",COUNTIFS(RawData[Date],$A20,RawData[Slot],14))</f>
        <v/>
      </c>
      <c r="R20" s="4" t="str">
        <f>IF($A20="","",COUNTIFS(RawData[Date],$A20,RawData[Slot],15))</f>
        <v/>
      </c>
      <c r="S20" s="4" t="str">
        <f>IF($A20="","",COUNTIFS(RawData[Date],$A20,RawData[Slot],16))</f>
        <v/>
      </c>
      <c r="T20" s="4" t="str">
        <f>IF($A20="","",COUNTIFS(RawData[Date],$A20,RawData[Slot],17))</f>
        <v/>
      </c>
      <c r="U20" s="4" t="str">
        <f>IF($A20="","",COUNTIFS(RawData[Date],$A20,RawData[Slot],18))</f>
        <v/>
      </c>
      <c r="V20" s="4" t="str">
        <f>IF($A20="","",COUNTIFS(RawData[Date],$A20,RawData[Slot],19))</f>
        <v/>
      </c>
      <c r="W20" s="4" t="str">
        <f>IF($A20="","",COUNTIFS(RawData[Date],$A20,RawData[Slot],20))</f>
        <v/>
      </c>
      <c r="X20" s="4" t="str">
        <f>IF($A20="","",COUNTIFS(RawData[Date],$A20,RawData[Slot],21))</f>
        <v/>
      </c>
      <c r="Y20" s="4" t="str">
        <f>IF($A20="","",COUNTIFS(RawData[Date],$A20,RawData[Slot],22))</f>
        <v/>
      </c>
      <c r="Z20" s="4" t="str">
        <f>IF($A20="","",COUNTIFS(RawData[Date],$A20,RawData[Slot],23))</f>
        <v/>
      </c>
      <c r="AA20" s="4" t="str">
        <f>IF($A20="","",COUNTIFS(RawData[Date],$A20,RawData[Slot],24))</f>
        <v/>
      </c>
      <c r="AB20" s="4" t="str">
        <f>IF($A20="","",COUNTIFS(RawData[Date],$A20,RawData[Slot],25))</f>
        <v/>
      </c>
      <c r="AC20" s="4" t="str">
        <f>IF($A20="","",COUNTIFS(RawData[Date],$A20,RawData[Slot],26))</f>
        <v/>
      </c>
      <c r="AD20" s="4" t="str">
        <f>IF($A20="","",COUNTIFS(RawData[Date],$A20,RawData[Slot],27))</f>
        <v/>
      </c>
      <c r="AE20" s="4" t="str">
        <f>IF($A20="","",COUNTIFS(RawData[Date],$A20,RawData[Slot],28))</f>
        <v/>
      </c>
      <c r="AF20" s="4" t="str">
        <f>IF($A20="","",COUNTIFS(RawData[Date],$A20,RawData[Slot],29))</f>
        <v/>
      </c>
      <c r="AG20" s="4" t="str">
        <f>IF($A20="","",COUNTIFS(RawData[Date],$A20,RawData[Slot],30))</f>
        <v/>
      </c>
      <c r="AH20" s="4" t="str">
        <f>IF($A20="","",COUNTIFS(RawData[Date],$A20,RawData[Slot],31))</f>
        <v/>
      </c>
      <c r="AI20" s="4" t="str">
        <f>IF($A20="","",COUNTIFS(RawData[Date],$A20,RawData[Slot],32))</f>
        <v/>
      </c>
      <c r="AJ20" s="4" t="str">
        <f>IF($A20="","",COUNTIFS(RawData[Date],$A20,RawData[Slot],33))</f>
        <v/>
      </c>
      <c r="AK20" s="4" t="str">
        <f>IF($A20="","",COUNTIFS(RawData[Date],$A20,RawData[Slot],34))</f>
        <v/>
      </c>
      <c r="AL20" s="4" t="str">
        <f>IF($A20="","",COUNTIFS(RawData[Date],$A20,RawData[Slot],35))</f>
        <v/>
      </c>
      <c r="AM20" s="4" t="str">
        <f>IF($A20="","",COUNTIFS(RawData[Date],$A20,RawData[Slot],36))</f>
        <v/>
      </c>
      <c r="AN20" s="4" t="str">
        <f>IF($A20="","",COUNTIFS(RawData[Date],$A20,RawData[Slot],37))</f>
        <v/>
      </c>
      <c r="AO20" s="4" t="str">
        <f>IF($A20="","",COUNTIFS(RawData[Date],$A20,RawData[Slot],38))</f>
        <v/>
      </c>
      <c r="AP20" s="4" t="str">
        <f>IF($A20="","",COUNTIFS(RawData[Date],$A20,RawData[Slot],39))</f>
        <v/>
      </c>
      <c r="AQ20" s="4" t="str">
        <f>IF($A20="","",COUNTIFS(RawData[Date],$A20,RawData[Slot],40))</f>
        <v/>
      </c>
      <c r="AR20" s="4" t="str">
        <f>IF($A20="","",COUNTIFS(RawData[Date],$A20,RawData[Slot],41))</f>
        <v/>
      </c>
      <c r="AS20" s="4" t="str">
        <f>IF($A20="","",COUNTIFS(RawData[Date],$A20,RawData[Slot],42))</f>
        <v/>
      </c>
      <c r="AT20" s="4" t="str">
        <f>IF($A20="","",COUNTIFS(RawData[Date],$A20,RawData[Slot],43))</f>
        <v/>
      </c>
      <c r="AU20" s="4" t="str">
        <f>IF($A20="","",COUNTIFS(RawData[Date],$A20,RawData[Slot],44))</f>
        <v/>
      </c>
      <c r="AV20" s="4" t="str">
        <f>IF($A20="","",COUNTIFS(RawData[Date],$A20,RawData[Slot],45))</f>
        <v/>
      </c>
      <c r="AW20" s="4" t="str">
        <f>IF($A20="","",COUNTIFS(RawData[Date],$A20,RawData[Slot],46))</f>
        <v/>
      </c>
      <c r="AX20" s="4" t="str">
        <f>IF($A20="","",COUNTIFS(RawData[Date],$A20,RawData[Slot],47))</f>
        <v/>
      </c>
      <c r="AY20" s="4" t="str">
        <f t="shared" si="1"/>
        <v/>
      </c>
    </row>
    <row r="21" spans="1:51" x14ac:dyDescent="0.25">
      <c r="A21" s="7"/>
      <c r="B21" s="4" t="str">
        <f t="shared" si="0"/>
        <v/>
      </c>
      <c r="C21" s="4" t="str">
        <f>IF($A21="","",COUNTIFS(RawData[Date],$A21,RawData[Slot],0))</f>
        <v/>
      </c>
      <c r="D21" s="4" t="str">
        <f>IF($A21="","",COUNTIFS(RawData[Date],$A21,RawData[Slot],1))</f>
        <v/>
      </c>
      <c r="E21" s="4" t="str">
        <f>IF($A21="","",COUNTIFS(RawData[Date],$A21,RawData[Slot],2))</f>
        <v/>
      </c>
      <c r="F21" s="4" t="str">
        <f>IF($A21="","",COUNTIFS(RawData[Date],$A21,RawData[Slot],3))</f>
        <v/>
      </c>
      <c r="G21" s="4" t="str">
        <f>IF($A21="","",COUNTIFS(RawData[Date],$A21,RawData[Slot],4))</f>
        <v/>
      </c>
      <c r="H21" s="4" t="str">
        <f>IF($A21="","",COUNTIFS(RawData[Date],$A21,RawData[Slot],5))</f>
        <v/>
      </c>
      <c r="I21" s="4" t="str">
        <f>IF($A21="","",COUNTIFS(RawData[Date],$A21,RawData[Slot],6))</f>
        <v/>
      </c>
      <c r="J21" s="4" t="str">
        <f>IF($A21="","",COUNTIFS(RawData[Date],$A21,RawData[Slot],7))</f>
        <v/>
      </c>
      <c r="K21" s="4" t="str">
        <f>IF($A21="","",COUNTIFS(RawData[Date],$A21,RawData[Slot],8))</f>
        <v/>
      </c>
      <c r="L21" s="4" t="str">
        <f>IF($A21="","",COUNTIFS(RawData[Date],$A21,RawData[Slot],9))</f>
        <v/>
      </c>
      <c r="M21" s="4" t="str">
        <f>IF($A21="","",COUNTIFS(RawData[Date],$A21,RawData[Slot],10))</f>
        <v/>
      </c>
      <c r="N21" s="4" t="str">
        <f>IF($A21="","",COUNTIFS(RawData[Date],$A21,RawData[Slot],11))</f>
        <v/>
      </c>
      <c r="O21" s="4" t="str">
        <f>IF($A21="","",COUNTIFS(RawData[Date],$A21,RawData[Slot],12))</f>
        <v/>
      </c>
      <c r="P21" s="4" t="str">
        <f>IF($A21="","",COUNTIFS(RawData[Date],$A21,RawData[Slot],13))</f>
        <v/>
      </c>
      <c r="Q21" s="4" t="str">
        <f>IF($A21="","",COUNTIFS(RawData[Date],$A21,RawData[Slot],14))</f>
        <v/>
      </c>
      <c r="R21" s="4" t="str">
        <f>IF($A21="","",COUNTIFS(RawData[Date],$A21,RawData[Slot],15))</f>
        <v/>
      </c>
      <c r="S21" s="4" t="str">
        <f>IF($A21="","",COUNTIFS(RawData[Date],$A21,RawData[Slot],16))</f>
        <v/>
      </c>
      <c r="T21" s="4" t="str">
        <f>IF($A21="","",COUNTIFS(RawData[Date],$A21,RawData[Slot],17))</f>
        <v/>
      </c>
      <c r="U21" s="4" t="str">
        <f>IF($A21="","",COUNTIFS(RawData[Date],$A21,RawData[Slot],18))</f>
        <v/>
      </c>
      <c r="V21" s="4" t="str">
        <f>IF($A21="","",COUNTIFS(RawData[Date],$A21,RawData[Slot],19))</f>
        <v/>
      </c>
      <c r="W21" s="4" t="str">
        <f>IF($A21="","",COUNTIFS(RawData[Date],$A21,RawData[Slot],20))</f>
        <v/>
      </c>
      <c r="X21" s="4" t="str">
        <f>IF($A21="","",COUNTIFS(RawData[Date],$A21,RawData[Slot],21))</f>
        <v/>
      </c>
      <c r="Y21" s="4" t="str">
        <f>IF($A21="","",COUNTIFS(RawData[Date],$A21,RawData[Slot],22))</f>
        <v/>
      </c>
      <c r="Z21" s="4" t="str">
        <f>IF($A21="","",COUNTIFS(RawData[Date],$A21,RawData[Slot],23))</f>
        <v/>
      </c>
      <c r="AA21" s="4" t="str">
        <f>IF($A21="","",COUNTIFS(RawData[Date],$A21,RawData[Slot],24))</f>
        <v/>
      </c>
      <c r="AB21" s="4" t="str">
        <f>IF($A21="","",COUNTIFS(RawData[Date],$A21,RawData[Slot],25))</f>
        <v/>
      </c>
      <c r="AC21" s="4" t="str">
        <f>IF($A21="","",COUNTIFS(RawData[Date],$A21,RawData[Slot],26))</f>
        <v/>
      </c>
      <c r="AD21" s="4" t="str">
        <f>IF($A21="","",COUNTIFS(RawData[Date],$A21,RawData[Slot],27))</f>
        <v/>
      </c>
      <c r="AE21" s="4" t="str">
        <f>IF($A21="","",COUNTIFS(RawData[Date],$A21,RawData[Slot],28))</f>
        <v/>
      </c>
      <c r="AF21" s="4" t="str">
        <f>IF($A21="","",COUNTIFS(RawData[Date],$A21,RawData[Slot],29))</f>
        <v/>
      </c>
      <c r="AG21" s="4" t="str">
        <f>IF($A21="","",COUNTIFS(RawData[Date],$A21,RawData[Slot],30))</f>
        <v/>
      </c>
      <c r="AH21" s="4" t="str">
        <f>IF($A21="","",COUNTIFS(RawData[Date],$A21,RawData[Slot],31))</f>
        <v/>
      </c>
      <c r="AI21" s="4" t="str">
        <f>IF($A21="","",COUNTIFS(RawData[Date],$A21,RawData[Slot],32))</f>
        <v/>
      </c>
      <c r="AJ21" s="4" t="str">
        <f>IF($A21="","",COUNTIFS(RawData[Date],$A21,RawData[Slot],33))</f>
        <v/>
      </c>
      <c r="AK21" s="4" t="str">
        <f>IF($A21="","",COUNTIFS(RawData[Date],$A21,RawData[Slot],34))</f>
        <v/>
      </c>
      <c r="AL21" s="4" t="str">
        <f>IF($A21="","",COUNTIFS(RawData[Date],$A21,RawData[Slot],35))</f>
        <v/>
      </c>
      <c r="AM21" s="4" t="str">
        <f>IF($A21="","",COUNTIFS(RawData[Date],$A21,RawData[Slot],36))</f>
        <v/>
      </c>
      <c r="AN21" s="4" t="str">
        <f>IF($A21="","",COUNTIFS(RawData[Date],$A21,RawData[Slot],37))</f>
        <v/>
      </c>
      <c r="AO21" s="4" t="str">
        <f>IF($A21="","",COUNTIFS(RawData[Date],$A21,RawData[Slot],38))</f>
        <v/>
      </c>
      <c r="AP21" s="4" t="str">
        <f>IF($A21="","",COUNTIFS(RawData[Date],$A21,RawData[Slot],39))</f>
        <v/>
      </c>
      <c r="AQ21" s="4" t="str">
        <f>IF($A21="","",COUNTIFS(RawData[Date],$A21,RawData[Slot],40))</f>
        <v/>
      </c>
      <c r="AR21" s="4" t="str">
        <f>IF($A21="","",COUNTIFS(RawData[Date],$A21,RawData[Slot],41))</f>
        <v/>
      </c>
      <c r="AS21" s="4" t="str">
        <f>IF($A21="","",COUNTIFS(RawData[Date],$A21,RawData[Slot],42))</f>
        <v/>
      </c>
      <c r="AT21" s="4" t="str">
        <f>IF($A21="","",COUNTIFS(RawData[Date],$A21,RawData[Slot],43))</f>
        <v/>
      </c>
      <c r="AU21" s="4" t="str">
        <f>IF($A21="","",COUNTIFS(RawData[Date],$A21,RawData[Slot],44))</f>
        <v/>
      </c>
      <c r="AV21" s="4" t="str">
        <f>IF($A21="","",COUNTIFS(RawData[Date],$A21,RawData[Slot],45))</f>
        <v/>
      </c>
      <c r="AW21" s="4" t="str">
        <f>IF($A21="","",COUNTIFS(RawData[Date],$A21,RawData[Slot],46))</f>
        <v/>
      </c>
      <c r="AX21" s="4" t="str">
        <f>IF($A21="","",COUNTIFS(RawData[Date],$A21,RawData[Slot],47))</f>
        <v/>
      </c>
      <c r="AY21" s="4" t="str">
        <f t="shared" si="1"/>
        <v/>
      </c>
    </row>
    <row r="22" spans="1:51" x14ac:dyDescent="0.25">
      <c r="A22" s="7"/>
      <c r="B22" s="4" t="str">
        <f t="shared" si="0"/>
        <v/>
      </c>
      <c r="C22" s="4" t="str">
        <f>IF($A22="","",COUNTIFS(RawData[Date],$A22,RawData[Slot],0))</f>
        <v/>
      </c>
      <c r="D22" s="4" t="str">
        <f>IF($A22="","",COUNTIFS(RawData[Date],$A22,RawData[Slot],1))</f>
        <v/>
      </c>
      <c r="E22" s="4" t="str">
        <f>IF($A22="","",COUNTIFS(RawData[Date],$A22,RawData[Slot],2))</f>
        <v/>
      </c>
      <c r="F22" s="4" t="str">
        <f>IF($A22="","",COUNTIFS(RawData[Date],$A22,RawData[Slot],3))</f>
        <v/>
      </c>
      <c r="G22" s="4" t="str">
        <f>IF($A22="","",COUNTIFS(RawData[Date],$A22,RawData[Slot],4))</f>
        <v/>
      </c>
      <c r="H22" s="4" t="str">
        <f>IF($A22="","",COUNTIFS(RawData[Date],$A22,RawData[Slot],5))</f>
        <v/>
      </c>
      <c r="I22" s="4" t="str">
        <f>IF($A22="","",COUNTIFS(RawData[Date],$A22,RawData[Slot],6))</f>
        <v/>
      </c>
      <c r="J22" s="4" t="str">
        <f>IF($A22="","",COUNTIFS(RawData[Date],$A22,RawData[Slot],7))</f>
        <v/>
      </c>
      <c r="K22" s="4" t="str">
        <f>IF($A22="","",COUNTIFS(RawData[Date],$A22,RawData[Slot],8))</f>
        <v/>
      </c>
      <c r="L22" s="4" t="str">
        <f>IF($A22="","",COUNTIFS(RawData[Date],$A22,RawData[Slot],9))</f>
        <v/>
      </c>
      <c r="M22" s="4" t="str">
        <f>IF($A22="","",COUNTIFS(RawData[Date],$A22,RawData[Slot],10))</f>
        <v/>
      </c>
      <c r="N22" s="4" t="str">
        <f>IF($A22="","",COUNTIFS(RawData[Date],$A22,RawData[Slot],11))</f>
        <v/>
      </c>
      <c r="O22" s="4" t="str">
        <f>IF($A22="","",COUNTIFS(RawData[Date],$A22,RawData[Slot],12))</f>
        <v/>
      </c>
      <c r="P22" s="4" t="str">
        <f>IF($A22="","",COUNTIFS(RawData[Date],$A22,RawData[Slot],13))</f>
        <v/>
      </c>
      <c r="Q22" s="4" t="str">
        <f>IF($A22="","",COUNTIFS(RawData[Date],$A22,RawData[Slot],14))</f>
        <v/>
      </c>
      <c r="R22" s="4" t="str">
        <f>IF($A22="","",COUNTIFS(RawData[Date],$A22,RawData[Slot],15))</f>
        <v/>
      </c>
      <c r="S22" s="4" t="str">
        <f>IF($A22="","",COUNTIFS(RawData[Date],$A22,RawData[Slot],16))</f>
        <v/>
      </c>
      <c r="T22" s="4" t="str">
        <f>IF($A22="","",COUNTIFS(RawData[Date],$A22,RawData[Slot],17))</f>
        <v/>
      </c>
      <c r="U22" s="4" t="str">
        <f>IF($A22="","",COUNTIFS(RawData[Date],$A22,RawData[Slot],18))</f>
        <v/>
      </c>
      <c r="V22" s="4" t="str">
        <f>IF($A22="","",COUNTIFS(RawData[Date],$A22,RawData[Slot],19))</f>
        <v/>
      </c>
      <c r="W22" s="4" t="str">
        <f>IF($A22="","",COUNTIFS(RawData[Date],$A22,RawData[Slot],20))</f>
        <v/>
      </c>
      <c r="X22" s="4" t="str">
        <f>IF($A22="","",COUNTIFS(RawData[Date],$A22,RawData[Slot],21))</f>
        <v/>
      </c>
      <c r="Y22" s="4" t="str">
        <f>IF($A22="","",COUNTIFS(RawData[Date],$A22,RawData[Slot],22))</f>
        <v/>
      </c>
      <c r="Z22" s="4" t="str">
        <f>IF($A22="","",COUNTIFS(RawData[Date],$A22,RawData[Slot],23))</f>
        <v/>
      </c>
      <c r="AA22" s="4" t="str">
        <f>IF($A22="","",COUNTIFS(RawData[Date],$A22,RawData[Slot],24))</f>
        <v/>
      </c>
      <c r="AB22" s="4" t="str">
        <f>IF($A22="","",COUNTIFS(RawData[Date],$A22,RawData[Slot],25))</f>
        <v/>
      </c>
      <c r="AC22" s="4" t="str">
        <f>IF($A22="","",COUNTIFS(RawData[Date],$A22,RawData[Slot],26))</f>
        <v/>
      </c>
      <c r="AD22" s="4" t="str">
        <f>IF($A22="","",COUNTIFS(RawData[Date],$A22,RawData[Slot],27))</f>
        <v/>
      </c>
      <c r="AE22" s="4" t="str">
        <f>IF($A22="","",COUNTIFS(RawData[Date],$A22,RawData[Slot],28))</f>
        <v/>
      </c>
      <c r="AF22" s="4" t="str">
        <f>IF($A22="","",COUNTIFS(RawData[Date],$A22,RawData[Slot],29))</f>
        <v/>
      </c>
      <c r="AG22" s="4" t="str">
        <f>IF($A22="","",COUNTIFS(RawData[Date],$A22,RawData[Slot],30))</f>
        <v/>
      </c>
      <c r="AH22" s="4" t="str">
        <f>IF($A22="","",COUNTIFS(RawData[Date],$A22,RawData[Slot],31))</f>
        <v/>
      </c>
      <c r="AI22" s="4" t="str">
        <f>IF($A22="","",COUNTIFS(RawData[Date],$A22,RawData[Slot],32))</f>
        <v/>
      </c>
      <c r="AJ22" s="4" t="str">
        <f>IF($A22="","",COUNTIFS(RawData[Date],$A22,RawData[Slot],33))</f>
        <v/>
      </c>
      <c r="AK22" s="4" t="str">
        <f>IF($A22="","",COUNTIFS(RawData[Date],$A22,RawData[Slot],34))</f>
        <v/>
      </c>
      <c r="AL22" s="4" t="str">
        <f>IF($A22="","",COUNTIFS(RawData[Date],$A22,RawData[Slot],35))</f>
        <v/>
      </c>
      <c r="AM22" s="4" t="str">
        <f>IF($A22="","",COUNTIFS(RawData[Date],$A22,RawData[Slot],36))</f>
        <v/>
      </c>
      <c r="AN22" s="4" t="str">
        <f>IF($A22="","",COUNTIFS(RawData[Date],$A22,RawData[Slot],37))</f>
        <v/>
      </c>
      <c r="AO22" s="4" t="str">
        <f>IF($A22="","",COUNTIFS(RawData[Date],$A22,RawData[Slot],38))</f>
        <v/>
      </c>
      <c r="AP22" s="4" t="str">
        <f>IF($A22="","",COUNTIFS(RawData[Date],$A22,RawData[Slot],39))</f>
        <v/>
      </c>
      <c r="AQ22" s="4" t="str">
        <f>IF($A22="","",COUNTIFS(RawData[Date],$A22,RawData[Slot],40))</f>
        <v/>
      </c>
      <c r="AR22" s="4" t="str">
        <f>IF($A22="","",COUNTIFS(RawData[Date],$A22,RawData[Slot],41))</f>
        <v/>
      </c>
      <c r="AS22" s="4" t="str">
        <f>IF($A22="","",COUNTIFS(RawData[Date],$A22,RawData[Slot],42))</f>
        <v/>
      </c>
      <c r="AT22" s="4" t="str">
        <f>IF($A22="","",COUNTIFS(RawData[Date],$A22,RawData[Slot],43))</f>
        <v/>
      </c>
      <c r="AU22" s="4" t="str">
        <f>IF($A22="","",COUNTIFS(RawData[Date],$A22,RawData[Slot],44))</f>
        <v/>
      </c>
      <c r="AV22" s="4" t="str">
        <f>IF($A22="","",COUNTIFS(RawData[Date],$A22,RawData[Slot],45))</f>
        <v/>
      </c>
      <c r="AW22" s="4" t="str">
        <f>IF($A22="","",COUNTIFS(RawData[Date],$A22,RawData[Slot],46))</f>
        <v/>
      </c>
      <c r="AX22" s="4" t="str">
        <f>IF($A22="","",COUNTIFS(RawData[Date],$A22,RawData[Slot],47))</f>
        <v/>
      </c>
      <c r="AY22" s="4" t="str">
        <f t="shared" si="1"/>
        <v/>
      </c>
    </row>
    <row r="23" spans="1:51" x14ac:dyDescent="0.25">
      <c r="A23" s="7"/>
      <c r="B23" s="4" t="str">
        <f t="shared" si="0"/>
        <v/>
      </c>
      <c r="C23" s="4" t="str">
        <f>IF($A23="","",COUNTIFS(RawData[Date],$A23,RawData[Slot],0))</f>
        <v/>
      </c>
      <c r="D23" s="4" t="str">
        <f>IF($A23="","",COUNTIFS(RawData[Date],$A23,RawData[Slot],1))</f>
        <v/>
      </c>
      <c r="E23" s="4" t="str">
        <f>IF($A23="","",COUNTIFS(RawData[Date],$A23,RawData[Slot],2))</f>
        <v/>
      </c>
      <c r="F23" s="4" t="str">
        <f>IF($A23="","",COUNTIFS(RawData[Date],$A23,RawData[Slot],3))</f>
        <v/>
      </c>
      <c r="G23" s="4" t="str">
        <f>IF($A23="","",COUNTIFS(RawData[Date],$A23,RawData[Slot],4))</f>
        <v/>
      </c>
      <c r="H23" s="4" t="str">
        <f>IF($A23="","",COUNTIFS(RawData[Date],$A23,RawData[Slot],5))</f>
        <v/>
      </c>
      <c r="I23" s="4" t="str">
        <f>IF($A23="","",COUNTIFS(RawData[Date],$A23,RawData[Slot],6))</f>
        <v/>
      </c>
      <c r="J23" s="4" t="str">
        <f>IF($A23="","",COUNTIFS(RawData[Date],$A23,RawData[Slot],7))</f>
        <v/>
      </c>
      <c r="K23" s="4" t="str">
        <f>IF($A23="","",COUNTIFS(RawData[Date],$A23,RawData[Slot],8))</f>
        <v/>
      </c>
      <c r="L23" s="4" t="str">
        <f>IF($A23="","",COUNTIFS(RawData[Date],$A23,RawData[Slot],9))</f>
        <v/>
      </c>
      <c r="M23" s="4" t="str">
        <f>IF($A23="","",COUNTIFS(RawData[Date],$A23,RawData[Slot],10))</f>
        <v/>
      </c>
      <c r="N23" s="4" t="str">
        <f>IF($A23="","",COUNTIFS(RawData[Date],$A23,RawData[Slot],11))</f>
        <v/>
      </c>
      <c r="O23" s="4" t="str">
        <f>IF($A23="","",COUNTIFS(RawData[Date],$A23,RawData[Slot],12))</f>
        <v/>
      </c>
      <c r="P23" s="4" t="str">
        <f>IF($A23="","",COUNTIFS(RawData[Date],$A23,RawData[Slot],13))</f>
        <v/>
      </c>
      <c r="Q23" s="4" t="str">
        <f>IF($A23="","",COUNTIFS(RawData[Date],$A23,RawData[Slot],14))</f>
        <v/>
      </c>
      <c r="R23" s="4" t="str">
        <f>IF($A23="","",COUNTIFS(RawData[Date],$A23,RawData[Slot],15))</f>
        <v/>
      </c>
      <c r="S23" s="4" t="str">
        <f>IF($A23="","",COUNTIFS(RawData[Date],$A23,RawData[Slot],16))</f>
        <v/>
      </c>
      <c r="T23" s="4" t="str">
        <f>IF($A23="","",COUNTIFS(RawData[Date],$A23,RawData[Slot],17))</f>
        <v/>
      </c>
      <c r="U23" s="4" t="str">
        <f>IF($A23="","",COUNTIFS(RawData[Date],$A23,RawData[Slot],18))</f>
        <v/>
      </c>
      <c r="V23" s="4" t="str">
        <f>IF($A23="","",COUNTIFS(RawData[Date],$A23,RawData[Slot],19))</f>
        <v/>
      </c>
      <c r="W23" s="4" t="str">
        <f>IF($A23="","",COUNTIFS(RawData[Date],$A23,RawData[Slot],20))</f>
        <v/>
      </c>
      <c r="X23" s="4" t="str">
        <f>IF($A23="","",COUNTIFS(RawData[Date],$A23,RawData[Slot],21))</f>
        <v/>
      </c>
      <c r="Y23" s="4" t="str">
        <f>IF($A23="","",COUNTIFS(RawData[Date],$A23,RawData[Slot],22))</f>
        <v/>
      </c>
      <c r="Z23" s="4" t="str">
        <f>IF($A23="","",COUNTIFS(RawData[Date],$A23,RawData[Slot],23))</f>
        <v/>
      </c>
      <c r="AA23" s="4" t="str">
        <f>IF($A23="","",COUNTIFS(RawData[Date],$A23,RawData[Slot],24))</f>
        <v/>
      </c>
      <c r="AB23" s="4" t="str">
        <f>IF($A23="","",COUNTIFS(RawData[Date],$A23,RawData[Slot],25))</f>
        <v/>
      </c>
      <c r="AC23" s="4" t="str">
        <f>IF($A23="","",COUNTIFS(RawData[Date],$A23,RawData[Slot],26))</f>
        <v/>
      </c>
      <c r="AD23" s="4" t="str">
        <f>IF($A23="","",COUNTIFS(RawData[Date],$A23,RawData[Slot],27))</f>
        <v/>
      </c>
      <c r="AE23" s="4" t="str">
        <f>IF($A23="","",COUNTIFS(RawData[Date],$A23,RawData[Slot],28))</f>
        <v/>
      </c>
      <c r="AF23" s="4" t="str">
        <f>IF($A23="","",COUNTIFS(RawData[Date],$A23,RawData[Slot],29))</f>
        <v/>
      </c>
      <c r="AG23" s="4" t="str">
        <f>IF($A23="","",COUNTIFS(RawData[Date],$A23,RawData[Slot],30))</f>
        <v/>
      </c>
      <c r="AH23" s="4" t="str">
        <f>IF($A23="","",COUNTIFS(RawData[Date],$A23,RawData[Slot],31))</f>
        <v/>
      </c>
      <c r="AI23" s="4" t="str">
        <f>IF($A23="","",COUNTIFS(RawData[Date],$A23,RawData[Slot],32))</f>
        <v/>
      </c>
      <c r="AJ23" s="4" t="str">
        <f>IF($A23="","",COUNTIFS(RawData[Date],$A23,RawData[Slot],33))</f>
        <v/>
      </c>
      <c r="AK23" s="4" t="str">
        <f>IF($A23="","",COUNTIFS(RawData[Date],$A23,RawData[Slot],34))</f>
        <v/>
      </c>
      <c r="AL23" s="4" t="str">
        <f>IF($A23="","",COUNTIFS(RawData[Date],$A23,RawData[Slot],35))</f>
        <v/>
      </c>
      <c r="AM23" s="4" t="str">
        <f>IF($A23="","",COUNTIFS(RawData[Date],$A23,RawData[Slot],36))</f>
        <v/>
      </c>
      <c r="AN23" s="4" t="str">
        <f>IF($A23="","",COUNTIFS(RawData[Date],$A23,RawData[Slot],37))</f>
        <v/>
      </c>
      <c r="AO23" s="4" t="str">
        <f>IF($A23="","",COUNTIFS(RawData[Date],$A23,RawData[Slot],38))</f>
        <v/>
      </c>
      <c r="AP23" s="4" t="str">
        <f>IF($A23="","",COUNTIFS(RawData[Date],$A23,RawData[Slot],39))</f>
        <v/>
      </c>
      <c r="AQ23" s="4" t="str">
        <f>IF($A23="","",COUNTIFS(RawData[Date],$A23,RawData[Slot],40))</f>
        <v/>
      </c>
      <c r="AR23" s="4" t="str">
        <f>IF($A23="","",COUNTIFS(RawData[Date],$A23,RawData[Slot],41))</f>
        <v/>
      </c>
      <c r="AS23" s="4" t="str">
        <f>IF($A23="","",COUNTIFS(RawData[Date],$A23,RawData[Slot],42))</f>
        <v/>
      </c>
      <c r="AT23" s="4" t="str">
        <f>IF($A23="","",COUNTIFS(RawData[Date],$A23,RawData[Slot],43))</f>
        <v/>
      </c>
      <c r="AU23" s="4" t="str">
        <f>IF($A23="","",COUNTIFS(RawData[Date],$A23,RawData[Slot],44))</f>
        <v/>
      </c>
      <c r="AV23" s="4" t="str">
        <f>IF($A23="","",COUNTIFS(RawData[Date],$A23,RawData[Slot],45))</f>
        <v/>
      </c>
      <c r="AW23" s="4" t="str">
        <f>IF($A23="","",COUNTIFS(RawData[Date],$A23,RawData[Slot],46))</f>
        <v/>
      </c>
      <c r="AX23" s="4" t="str">
        <f>IF($A23="","",COUNTIFS(RawData[Date],$A23,RawData[Slot],47))</f>
        <v/>
      </c>
      <c r="AY23" s="4" t="str">
        <f t="shared" si="1"/>
        <v/>
      </c>
    </row>
    <row r="24" spans="1:51" x14ac:dyDescent="0.25">
      <c r="A24" s="7"/>
      <c r="B24" s="4" t="str">
        <f t="shared" si="0"/>
        <v/>
      </c>
      <c r="C24" s="4" t="str">
        <f>IF($A24="","",COUNTIFS(RawData[Date],$A24,RawData[Slot],0))</f>
        <v/>
      </c>
      <c r="D24" s="4" t="str">
        <f>IF($A24="","",COUNTIFS(RawData[Date],$A24,RawData[Slot],1))</f>
        <v/>
      </c>
      <c r="E24" s="4" t="str">
        <f>IF($A24="","",COUNTIFS(RawData[Date],$A24,RawData[Slot],2))</f>
        <v/>
      </c>
      <c r="F24" s="4" t="str">
        <f>IF($A24="","",COUNTIFS(RawData[Date],$A24,RawData[Slot],3))</f>
        <v/>
      </c>
      <c r="G24" s="4" t="str">
        <f>IF($A24="","",COUNTIFS(RawData[Date],$A24,RawData[Slot],4))</f>
        <v/>
      </c>
      <c r="H24" s="4" t="str">
        <f>IF($A24="","",COUNTIFS(RawData[Date],$A24,RawData[Slot],5))</f>
        <v/>
      </c>
      <c r="I24" s="4" t="str">
        <f>IF($A24="","",COUNTIFS(RawData[Date],$A24,RawData[Slot],6))</f>
        <v/>
      </c>
      <c r="J24" s="4" t="str">
        <f>IF($A24="","",COUNTIFS(RawData[Date],$A24,RawData[Slot],7))</f>
        <v/>
      </c>
      <c r="K24" s="4" t="str">
        <f>IF($A24="","",COUNTIFS(RawData[Date],$A24,RawData[Slot],8))</f>
        <v/>
      </c>
      <c r="L24" s="4" t="str">
        <f>IF($A24="","",COUNTIFS(RawData[Date],$A24,RawData[Slot],9))</f>
        <v/>
      </c>
      <c r="M24" s="4" t="str">
        <f>IF($A24="","",COUNTIFS(RawData[Date],$A24,RawData[Slot],10))</f>
        <v/>
      </c>
      <c r="N24" s="4" t="str">
        <f>IF($A24="","",COUNTIFS(RawData[Date],$A24,RawData[Slot],11))</f>
        <v/>
      </c>
      <c r="O24" s="4" t="str">
        <f>IF($A24="","",COUNTIFS(RawData[Date],$A24,RawData[Slot],12))</f>
        <v/>
      </c>
      <c r="P24" s="4" t="str">
        <f>IF($A24="","",COUNTIFS(RawData[Date],$A24,RawData[Slot],13))</f>
        <v/>
      </c>
      <c r="Q24" s="4" t="str">
        <f>IF($A24="","",COUNTIFS(RawData[Date],$A24,RawData[Slot],14))</f>
        <v/>
      </c>
      <c r="R24" s="4" t="str">
        <f>IF($A24="","",COUNTIFS(RawData[Date],$A24,RawData[Slot],15))</f>
        <v/>
      </c>
      <c r="S24" s="4" t="str">
        <f>IF($A24="","",COUNTIFS(RawData[Date],$A24,RawData[Slot],16))</f>
        <v/>
      </c>
      <c r="T24" s="4" t="str">
        <f>IF($A24="","",COUNTIFS(RawData[Date],$A24,RawData[Slot],17))</f>
        <v/>
      </c>
      <c r="U24" s="4" t="str">
        <f>IF($A24="","",COUNTIFS(RawData[Date],$A24,RawData[Slot],18))</f>
        <v/>
      </c>
      <c r="V24" s="4" t="str">
        <f>IF($A24="","",COUNTIFS(RawData[Date],$A24,RawData[Slot],19))</f>
        <v/>
      </c>
      <c r="W24" s="4" t="str">
        <f>IF($A24="","",COUNTIFS(RawData[Date],$A24,RawData[Slot],20))</f>
        <v/>
      </c>
      <c r="X24" s="4" t="str">
        <f>IF($A24="","",COUNTIFS(RawData[Date],$A24,RawData[Slot],21))</f>
        <v/>
      </c>
      <c r="Y24" s="4" t="str">
        <f>IF($A24="","",COUNTIFS(RawData[Date],$A24,RawData[Slot],22))</f>
        <v/>
      </c>
      <c r="Z24" s="4" t="str">
        <f>IF($A24="","",COUNTIFS(RawData[Date],$A24,RawData[Slot],23))</f>
        <v/>
      </c>
      <c r="AA24" s="4" t="str">
        <f>IF($A24="","",COUNTIFS(RawData[Date],$A24,RawData[Slot],24))</f>
        <v/>
      </c>
      <c r="AB24" s="4" t="str">
        <f>IF($A24="","",COUNTIFS(RawData[Date],$A24,RawData[Slot],25))</f>
        <v/>
      </c>
      <c r="AC24" s="4" t="str">
        <f>IF($A24="","",COUNTIFS(RawData[Date],$A24,RawData[Slot],26))</f>
        <v/>
      </c>
      <c r="AD24" s="4" t="str">
        <f>IF($A24="","",COUNTIFS(RawData[Date],$A24,RawData[Slot],27))</f>
        <v/>
      </c>
      <c r="AE24" s="4" t="str">
        <f>IF($A24="","",COUNTIFS(RawData[Date],$A24,RawData[Slot],28))</f>
        <v/>
      </c>
      <c r="AF24" s="4" t="str">
        <f>IF($A24="","",COUNTIFS(RawData[Date],$A24,RawData[Slot],29))</f>
        <v/>
      </c>
      <c r="AG24" s="4" t="str">
        <f>IF($A24="","",COUNTIFS(RawData[Date],$A24,RawData[Slot],30))</f>
        <v/>
      </c>
      <c r="AH24" s="4" t="str">
        <f>IF($A24="","",COUNTIFS(RawData[Date],$A24,RawData[Slot],31))</f>
        <v/>
      </c>
      <c r="AI24" s="4" t="str">
        <f>IF($A24="","",COUNTIFS(RawData[Date],$A24,RawData[Slot],32))</f>
        <v/>
      </c>
      <c r="AJ24" s="4" t="str">
        <f>IF($A24="","",COUNTIFS(RawData[Date],$A24,RawData[Slot],33))</f>
        <v/>
      </c>
      <c r="AK24" s="4" t="str">
        <f>IF($A24="","",COUNTIFS(RawData[Date],$A24,RawData[Slot],34))</f>
        <v/>
      </c>
      <c r="AL24" s="4" t="str">
        <f>IF($A24="","",COUNTIFS(RawData[Date],$A24,RawData[Slot],35))</f>
        <v/>
      </c>
      <c r="AM24" s="4" t="str">
        <f>IF($A24="","",COUNTIFS(RawData[Date],$A24,RawData[Slot],36))</f>
        <v/>
      </c>
      <c r="AN24" s="4" t="str">
        <f>IF($A24="","",COUNTIFS(RawData[Date],$A24,RawData[Slot],37))</f>
        <v/>
      </c>
      <c r="AO24" s="4" t="str">
        <f>IF($A24="","",COUNTIFS(RawData[Date],$A24,RawData[Slot],38))</f>
        <v/>
      </c>
      <c r="AP24" s="4" t="str">
        <f>IF($A24="","",COUNTIFS(RawData[Date],$A24,RawData[Slot],39))</f>
        <v/>
      </c>
      <c r="AQ24" s="4" t="str">
        <f>IF($A24="","",COUNTIFS(RawData[Date],$A24,RawData[Slot],40))</f>
        <v/>
      </c>
      <c r="AR24" s="4" t="str">
        <f>IF($A24="","",COUNTIFS(RawData[Date],$A24,RawData[Slot],41))</f>
        <v/>
      </c>
      <c r="AS24" s="4" t="str">
        <f>IF($A24="","",COUNTIFS(RawData[Date],$A24,RawData[Slot],42))</f>
        <v/>
      </c>
      <c r="AT24" s="4" t="str">
        <f>IF($A24="","",COUNTIFS(RawData[Date],$A24,RawData[Slot],43))</f>
        <v/>
      </c>
      <c r="AU24" s="4" t="str">
        <f>IF($A24="","",COUNTIFS(RawData[Date],$A24,RawData[Slot],44))</f>
        <v/>
      </c>
      <c r="AV24" s="4" t="str">
        <f>IF($A24="","",COUNTIFS(RawData[Date],$A24,RawData[Slot],45))</f>
        <v/>
      </c>
      <c r="AW24" s="4" t="str">
        <f>IF($A24="","",COUNTIFS(RawData[Date],$A24,RawData[Slot],46))</f>
        <v/>
      </c>
      <c r="AX24" s="4" t="str">
        <f>IF($A24="","",COUNTIFS(RawData[Date],$A24,RawData[Slot],47))</f>
        <v/>
      </c>
      <c r="AY24" s="4" t="str">
        <f t="shared" si="1"/>
        <v/>
      </c>
    </row>
    <row r="25" spans="1:51" x14ac:dyDescent="0.25">
      <c r="A25" s="7"/>
      <c r="B25" s="4" t="str">
        <f t="shared" si="0"/>
        <v/>
      </c>
      <c r="C25" s="4" t="str">
        <f>IF($A25="","",COUNTIFS(RawData[Date],$A25,RawData[Slot],0))</f>
        <v/>
      </c>
      <c r="D25" s="4" t="str">
        <f>IF($A25="","",COUNTIFS(RawData[Date],$A25,RawData[Slot],1))</f>
        <v/>
      </c>
      <c r="E25" s="4" t="str">
        <f>IF($A25="","",COUNTIFS(RawData[Date],$A25,RawData[Slot],2))</f>
        <v/>
      </c>
      <c r="F25" s="4" t="str">
        <f>IF($A25="","",COUNTIFS(RawData[Date],$A25,RawData[Slot],3))</f>
        <v/>
      </c>
      <c r="G25" s="4" t="str">
        <f>IF($A25="","",COUNTIFS(RawData[Date],$A25,RawData[Slot],4))</f>
        <v/>
      </c>
      <c r="H25" s="4" t="str">
        <f>IF($A25="","",COUNTIFS(RawData[Date],$A25,RawData[Slot],5))</f>
        <v/>
      </c>
      <c r="I25" s="4" t="str">
        <f>IF($A25="","",COUNTIFS(RawData[Date],$A25,RawData[Slot],6))</f>
        <v/>
      </c>
      <c r="J25" s="4" t="str">
        <f>IF($A25="","",COUNTIFS(RawData[Date],$A25,RawData[Slot],7))</f>
        <v/>
      </c>
      <c r="K25" s="4" t="str">
        <f>IF($A25="","",COUNTIFS(RawData[Date],$A25,RawData[Slot],8))</f>
        <v/>
      </c>
      <c r="L25" s="4" t="str">
        <f>IF($A25="","",COUNTIFS(RawData[Date],$A25,RawData[Slot],9))</f>
        <v/>
      </c>
      <c r="M25" s="4" t="str">
        <f>IF($A25="","",COUNTIFS(RawData[Date],$A25,RawData[Slot],10))</f>
        <v/>
      </c>
      <c r="N25" s="4" t="str">
        <f>IF($A25="","",COUNTIFS(RawData[Date],$A25,RawData[Slot],11))</f>
        <v/>
      </c>
      <c r="O25" s="4" t="str">
        <f>IF($A25="","",COUNTIFS(RawData[Date],$A25,RawData[Slot],12))</f>
        <v/>
      </c>
      <c r="P25" s="4" t="str">
        <f>IF($A25="","",COUNTIFS(RawData[Date],$A25,RawData[Slot],13))</f>
        <v/>
      </c>
      <c r="Q25" s="4" t="str">
        <f>IF($A25="","",COUNTIFS(RawData[Date],$A25,RawData[Slot],14))</f>
        <v/>
      </c>
      <c r="R25" s="4" t="str">
        <f>IF($A25="","",COUNTIFS(RawData[Date],$A25,RawData[Slot],15))</f>
        <v/>
      </c>
      <c r="S25" s="4" t="str">
        <f>IF($A25="","",COUNTIFS(RawData[Date],$A25,RawData[Slot],16))</f>
        <v/>
      </c>
      <c r="T25" s="4" t="str">
        <f>IF($A25="","",COUNTIFS(RawData[Date],$A25,RawData[Slot],17))</f>
        <v/>
      </c>
      <c r="U25" s="4" t="str">
        <f>IF($A25="","",COUNTIFS(RawData[Date],$A25,RawData[Slot],18))</f>
        <v/>
      </c>
      <c r="V25" s="4" t="str">
        <f>IF($A25="","",COUNTIFS(RawData[Date],$A25,RawData[Slot],19))</f>
        <v/>
      </c>
      <c r="W25" s="4" t="str">
        <f>IF($A25="","",COUNTIFS(RawData[Date],$A25,RawData[Slot],20))</f>
        <v/>
      </c>
      <c r="X25" s="4" t="str">
        <f>IF($A25="","",COUNTIFS(RawData[Date],$A25,RawData[Slot],21))</f>
        <v/>
      </c>
      <c r="Y25" s="4" t="str">
        <f>IF($A25="","",COUNTIFS(RawData[Date],$A25,RawData[Slot],22))</f>
        <v/>
      </c>
      <c r="Z25" s="4" t="str">
        <f>IF($A25="","",COUNTIFS(RawData[Date],$A25,RawData[Slot],23))</f>
        <v/>
      </c>
      <c r="AA25" s="4" t="str">
        <f>IF($A25="","",COUNTIFS(RawData[Date],$A25,RawData[Slot],24))</f>
        <v/>
      </c>
      <c r="AB25" s="4" t="str">
        <f>IF($A25="","",COUNTIFS(RawData[Date],$A25,RawData[Slot],25))</f>
        <v/>
      </c>
      <c r="AC25" s="4" t="str">
        <f>IF($A25="","",COUNTIFS(RawData[Date],$A25,RawData[Slot],26))</f>
        <v/>
      </c>
      <c r="AD25" s="4" t="str">
        <f>IF($A25="","",COUNTIFS(RawData[Date],$A25,RawData[Slot],27))</f>
        <v/>
      </c>
      <c r="AE25" s="4" t="str">
        <f>IF($A25="","",COUNTIFS(RawData[Date],$A25,RawData[Slot],28))</f>
        <v/>
      </c>
      <c r="AF25" s="4" t="str">
        <f>IF($A25="","",COUNTIFS(RawData[Date],$A25,RawData[Slot],29))</f>
        <v/>
      </c>
      <c r="AG25" s="4" t="str">
        <f>IF($A25="","",COUNTIFS(RawData[Date],$A25,RawData[Slot],30))</f>
        <v/>
      </c>
      <c r="AH25" s="4" t="str">
        <f>IF($A25="","",COUNTIFS(RawData[Date],$A25,RawData[Slot],31))</f>
        <v/>
      </c>
      <c r="AI25" s="4" t="str">
        <f>IF($A25="","",COUNTIFS(RawData[Date],$A25,RawData[Slot],32))</f>
        <v/>
      </c>
      <c r="AJ25" s="4" t="str">
        <f>IF($A25="","",COUNTIFS(RawData[Date],$A25,RawData[Slot],33))</f>
        <v/>
      </c>
      <c r="AK25" s="4" t="str">
        <f>IF($A25="","",COUNTIFS(RawData[Date],$A25,RawData[Slot],34))</f>
        <v/>
      </c>
      <c r="AL25" s="4" t="str">
        <f>IF($A25="","",COUNTIFS(RawData[Date],$A25,RawData[Slot],35))</f>
        <v/>
      </c>
      <c r="AM25" s="4" t="str">
        <f>IF($A25="","",COUNTIFS(RawData[Date],$A25,RawData[Slot],36))</f>
        <v/>
      </c>
      <c r="AN25" s="4" t="str">
        <f>IF($A25="","",COUNTIFS(RawData[Date],$A25,RawData[Slot],37))</f>
        <v/>
      </c>
      <c r="AO25" s="4" t="str">
        <f>IF($A25="","",COUNTIFS(RawData[Date],$A25,RawData[Slot],38))</f>
        <v/>
      </c>
      <c r="AP25" s="4" t="str">
        <f>IF($A25="","",COUNTIFS(RawData[Date],$A25,RawData[Slot],39))</f>
        <v/>
      </c>
      <c r="AQ25" s="4" t="str">
        <f>IF($A25="","",COUNTIFS(RawData[Date],$A25,RawData[Slot],40))</f>
        <v/>
      </c>
      <c r="AR25" s="4" t="str">
        <f>IF($A25="","",COUNTIFS(RawData[Date],$A25,RawData[Slot],41))</f>
        <v/>
      </c>
      <c r="AS25" s="4" t="str">
        <f>IF($A25="","",COUNTIFS(RawData[Date],$A25,RawData[Slot],42))</f>
        <v/>
      </c>
      <c r="AT25" s="4" t="str">
        <f>IF($A25="","",COUNTIFS(RawData[Date],$A25,RawData[Slot],43))</f>
        <v/>
      </c>
      <c r="AU25" s="4" t="str">
        <f>IF($A25="","",COUNTIFS(RawData[Date],$A25,RawData[Slot],44))</f>
        <v/>
      </c>
      <c r="AV25" s="4" t="str">
        <f>IF($A25="","",COUNTIFS(RawData[Date],$A25,RawData[Slot],45))</f>
        <v/>
      </c>
      <c r="AW25" s="4" t="str">
        <f>IF($A25="","",COUNTIFS(RawData[Date],$A25,RawData[Slot],46))</f>
        <v/>
      </c>
      <c r="AX25" s="4" t="str">
        <f>IF($A25="","",COUNTIFS(RawData[Date],$A25,RawData[Slot],47))</f>
        <v/>
      </c>
      <c r="AY25" s="4" t="str">
        <f t="shared" si="1"/>
        <v/>
      </c>
    </row>
    <row r="26" spans="1:51" x14ac:dyDescent="0.25">
      <c r="A26" s="7"/>
      <c r="B26" s="4" t="str">
        <f t="shared" si="0"/>
        <v/>
      </c>
      <c r="C26" s="4" t="str">
        <f>IF($A26="","",COUNTIFS(RawData[Date],$A26,RawData[Slot],0))</f>
        <v/>
      </c>
      <c r="D26" s="4" t="str">
        <f>IF($A26="","",COUNTIFS(RawData[Date],$A26,RawData[Slot],1))</f>
        <v/>
      </c>
      <c r="E26" s="4" t="str">
        <f>IF($A26="","",COUNTIFS(RawData[Date],$A26,RawData[Slot],2))</f>
        <v/>
      </c>
      <c r="F26" s="4" t="str">
        <f>IF($A26="","",COUNTIFS(RawData[Date],$A26,RawData[Slot],3))</f>
        <v/>
      </c>
      <c r="G26" s="4" t="str">
        <f>IF($A26="","",COUNTIFS(RawData[Date],$A26,RawData[Slot],4))</f>
        <v/>
      </c>
      <c r="H26" s="4" t="str">
        <f>IF($A26="","",COUNTIFS(RawData[Date],$A26,RawData[Slot],5))</f>
        <v/>
      </c>
      <c r="I26" s="4" t="str">
        <f>IF($A26="","",COUNTIFS(RawData[Date],$A26,RawData[Slot],6))</f>
        <v/>
      </c>
      <c r="J26" s="4" t="str">
        <f>IF($A26="","",COUNTIFS(RawData[Date],$A26,RawData[Slot],7))</f>
        <v/>
      </c>
      <c r="K26" s="4" t="str">
        <f>IF($A26="","",COUNTIFS(RawData[Date],$A26,RawData[Slot],8))</f>
        <v/>
      </c>
      <c r="L26" s="4" t="str">
        <f>IF($A26="","",COUNTIFS(RawData[Date],$A26,RawData[Slot],9))</f>
        <v/>
      </c>
      <c r="M26" s="4" t="str">
        <f>IF($A26="","",COUNTIFS(RawData[Date],$A26,RawData[Slot],10))</f>
        <v/>
      </c>
      <c r="N26" s="4" t="str">
        <f>IF($A26="","",COUNTIFS(RawData[Date],$A26,RawData[Slot],11))</f>
        <v/>
      </c>
      <c r="O26" s="4" t="str">
        <f>IF($A26="","",COUNTIFS(RawData[Date],$A26,RawData[Slot],12))</f>
        <v/>
      </c>
      <c r="P26" s="4" t="str">
        <f>IF($A26="","",COUNTIFS(RawData[Date],$A26,RawData[Slot],13))</f>
        <v/>
      </c>
      <c r="Q26" s="4" t="str">
        <f>IF($A26="","",COUNTIFS(RawData[Date],$A26,RawData[Slot],14))</f>
        <v/>
      </c>
      <c r="R26" s="4" t="str">
        <f>IF($A26="","",COUNTIFS(RawData[Date],$A26,RawData[Slot],15))</f>
        <v/>
      </c>
      <c r="S26" s="4" t="str">
        <f>IF($A26="","",COUNTIFS(RawData[Date],$A26,RawData[Slot],16))</f>
        <v/>
      </c>
      <c r="T26" s="4" t="str">
        <f>IF($A26="","",COUNTIFS(RawData[Date],$A26,RawData[Slot],17))</f>
        <v/>
      </c>
      <c r="U26" s="4" t="str">
        <f>IF($A26="","",COUNTIFS(RawData[Date],$A26,RawData[Slot],18))</f>
        <v/>
      </c>
      <c r="V26" s="4" t="str">
        <f>IF($A26="","",COUNTIFS(RawData[Date],$A26,RawData[Slot],19))</f>
        <v/>
      </c>
      <c r="W26" s="4" t="str">
        <f>IF($A26="","",COUNTIFS(RawData[Date],$A26,RawData[Slot],20))</f>
        <v/>
      </c>
      <c r="X26" s="4" t="str">
        <f>IF($A26="","",COUNTIFS(RawData[Date],$A26,RawData[Slot],21))</f>
        <v/>
      </c>
      <c r="Y26" s="4" t="str">
        <f>IF($A26="","",COUNTIFS(RawData[Date],$A26,RawData[Slot],22))</f>
        <v/>
      </c>
      <c r="Z26" s="4" t="str">
        <f>IF($A26="","",COUNTIFS(RawData[Date],$A26,RawData[Slot],23))</f>
        <v/>
      </c>
      <c r="AA26" s="4" t="str">
        <f>IF($A26="","",COUNTIFS(RawData[Date],$A26,RawData[Slot],24))</f>
        <v/>
      </c>
      <c r="AB26" s="4" t="str">
        <f>IF($A26="","",COUNTIFS(RawData[Date],$A26,RawData[Slot],25))</f>
        <v/>
      </c>
      <c r="AC26" s="4" t="str">
        <f>IF($A26="","",COUNTIFS(RawData[Date],$A26,RawData[Slot],26))</f>
        <v/>
      </c>
      <c r="AD26" s="4" t="str">
        <f>IF($A26="","",COUNTIFS(RawData[Date],$A26,RawData[Slot],27))</f>
        <v/>
      </c>
      <c r="AE26" s="4" t="str">
        <f>IF($A26="","",COUNTIFS(RawData[Date],$A26,RawData[Slot],28))</f>
        <v/>
      </c>
      <c r="AF26" s="4" t="str">
        <f>IF($A26="","",COUNTIFS(RawData[Date],$A26,RawData[Slot],29))</f>
        <v/>
      </c>
      <c r="AG26" s="4" t="str">
        <f>IF($A26="","",COUNTIFS(RawData[Date],$A26,RawData[Slot],30))</f>
        <v/>
      </c>
      <c r="AH26" s="4" t="str">
        <f>IF($A26="","",COUNTIFS(RawData[Date],$A26,RawData[Slot],31))</f>
        <v/>
      </c>
      <c r="AI26" s="4" t="str">
        <f>IF($A26="","",COUNTIFS(RawData[Date],$A26,RawData[Slot],32))</f>
        <v/>
      </c>
      <c r="AJ26" s="4" t="str">
        <f>IF($A26="","",COUNTIFS(RawData[Date],$A26,RawData[Slot],33))</f>
        <v/>
      </c>
      <c r="AK26" s="4" t="str">
        <f>IF($A26="","",COUNTIFS(RawData[Date],$A26,RawData[Slot],34))</f>
        <v/>
      </c>
      <c r="AL26" s="4" t="str">
        <f>IF($A26="","",COUNTIFS(RawData[Date],$A26,RawData[Slot],35))</f>
        <v/>
      </c>
      <c r="AM26" s="4" t="str">
        <f>IF($A26="","",COUNTIFS(RawData[Date],$A26,RawData[Slot],36))</f>
        <v/>
      </c>
      <c r="AN26" s="4" t="str">
        <f>IF($A26="","",COUNTIFS(RawData[Date],$A26,RawData[Slot],37))</f>
        <v/>
      </c>
      <c r="AO26" s="4" t="str">
        <f>IF($A26="","",COUNTIFS(RawData[Date],$A26,RawData[Slot],38))</f>
        <v/>
      </c>
      <c r="AP26" s="4" t="str">
        <f>IF($A26="","",COUNTIFS(RawData[Date],$A26,RawData[Slot],39))</f>
        <v/>
      </c>
      <c r="AQ26" s="4" t="str">
        <f>IF($A26="","",COUNTIFS(RawData[Date],$A26,RawData[Slot],40))</f>
        <v/>
      </c>
      <c r="AR26" s="4" t="str">
        <f>IF($A26="","",COUNTIFS(RawData[Date],$A26,RawData[Slot],41))</f>
        <v/>
      </c>
      <c r="AS26" s="4" t="str">
        <f>IF($A26="","",COUNTIFS(RawData[Date],$A26,RawData[Slot],42))</f>
        <v/>
      </c>
      <c r="AT26" s="4" t="str">
        <f>IF($A26="","",COUNTIFS(RawData[Date],$A26,RawData[Slot],43))</f>
        <v/>
      </c>
      <c r="AU26" s="4" t="str">
        <f>IF($A26="","",COUNTIFS(RawData[Date],$A26,RawData[Slot],44))</f>
        <v/>
      </c>
      <c r="AV26" s="4" t="str">
        <f>IF($A26="","",COUNTIFS(RawData[Date],$A26,RawData[Slot],45))</f>
        <v/>
      </c>
      <c r="AW26" s="4" t="str">
        <f>IF($A26="","",COUNTIFS(RawData[Date],$A26,RawData[Slot],46))</f>
        <v/>
      </c>
      <c r="AX26" s="4" t="str">
        <f>IF($A26="","",COUNTIFS(RawData[Date],$A26,RawData[Slot],47))</f>
        <v/>
      </c>
      <c r="AY26" s="4" t="str">
        <f t="shared" si="1"/>
        <v/>
      </c>
    </row>
    <row r="27" spans="1:51" x14ac:dyDescent="0.25">
      <c r="A27" s="7"/>
      <c r="B27" s="4" t="str">
        <f t="shared" si="0"/>
        <v/>
      </c>
      <c r="C27" s="4" t="str">
        <f>IF($A27="","",COUNTIFS(RawData[Date],$A27,RawData[Slot],0))</f>
        <v/>
      </c>
      <c r="D27" s="4" t="str">
        <f>IF($A27="","",COUNTIFS(RawData[Date],$A27,RawData[Slot],1))</f>
        <v/>
      </c>
      <c r="E27" s="4" t="str">
        <f>IF($A27="","",COUNTIFS(RawData[Date],$A27,RawData[Slot],2))</f>
        <v/>
      </c>
      <c r="F27" s="4" t="str">
        <f>IF($A27="","",COUNTIFS(RawData[Date],$A27,RawData[Slot],3))</f>
        <v/>
      </c>
      <c r="G27" s="4" t="str">
        <f>IF($A27="","",COUNTIFS(RawData[Date],$A27,RawData[Slot],4))</f>
        <v/>
      </c>
      <c r="H27" s="4" t="str">
        <f>IF($A27="","",COUNTIFS(RawData[Date],$A27,RawData[Slot],5))</f>
        <v/>
      </c>
      <c r="I27" s="4" t="str">
        <f>IF($A27="","",COUNTIFS(RawData[Date],$A27,RawData[Slot],6))</f>
        <v/>
      </c>
      <c r="J27" s="4" t="str">
        <f>IF($A27="","",COUNTIFS(RawData[Date],$A27,RawData[Slot],7))</f>
        <v/>
      </c>
      <c r="K27" s="4" t="str">
        <f>IF($A27="","",COUNTIFS(RawData[Date],$A27,RawData[Slot],8))</f>
        <v/>
      </c>
      <c r="L27" s="4" t="str">
        <f>IF($A27="","",COUNTIFS(RawData[Date],$A27,RawData[Slot],9))</f>
        <v/>
      </c>
      <c r="M27" s="4" t="str">
        <f>IF($A27="","",COUNTIFS(RawData[Date],$A27,RawData[Slot],10))</f>
        <v/>
      </c>
      <c r="N27" s="4" t="str">
        <f>IF($A27="","",COUNTIFS(RawData[Date],$A27,RawData[Slot],11))</f>
        <v/>
      </c>
      <c r="O27" s="4" t="str">
        <f>IF($A27="","",COUNTIFS(RawData[Date],$A27,RawData[Slot],12))</f>
        <v/>
      </c>
      <c r="P27" s="4" t="str">
        <f>IF($A27="","",COUNTIFS(RawData[Date],$A27,RawData[Slot],13))</f>
        <v/>
      </c>
      <c r="Q27" s="4" t="str">
        <f>IF($A27="","",COUNTIFS(RawData[Date],$A27,RawData[Slot],14))</f>
        <v/>
      </c>
      <c r="R27" s="4" t="str">
        <f>IF($A27="","",COUNTIFS(RawData[Date],$A27,RawData[Slot],15))</f>
        <v/>
      </c>
      <c r="S27" s="4" t="str">
        <f>IF($A27="","",COUNTIFS(RawData[Date],$A27,RawData[Slot],16))</f>
        <v/>
      </c>
      <c r="T27" s="4" t="str">
        <f>IF($A27="","",COUNTIFS(RawData[Date],$A27,RawData[Slot],17))</f>
        <v/>
      </c>
      <c r="U27" s="4" t="str">
        <f>IF($A27="","",COUNTIFS(RawData[Date],$A27,RawData[Slot],18))</f>
        <v/>
      </c>
      <c r="V27" s="4" t="str">
        <f>IF($A27="","",COUNTIFS(RawData[Date],$A27,RawData[Slot],19))</f>
        <v/>
      </c>
      <c r="W27" s="4" t="str">
        <f>IF($A27="","",COUNTIFS(RawData[Date],$A27,RawData[Slot],20))</f>
        <v/>
      </c>
      <c r="X27" s="4" t="str">
        <f>IF($A27="","",COUNTIFS(RawData[Date],$A27,RawData[Slot],21))</f>
        <v/>
      </c>
      <c r="Y27" s="4" t="str">
        <f>IF($A27="","",COUNTIFS(RawData[Date],$A27,RawData[Slot],22))</f>
        <v/>
      </c>
      <c r="Z27" s="4" t="str">
        <f>IF($A27="","",COUNTIFS(RawData[Date],$A27,RawData[Slot],23))</f>
        <v/>
      </c>
      <c r="AA27" s="4" t="str">
        <f>IF($A27="","",COUNTIFS(RawData[Date],$A27,RawData[Slot],24))</f>
        <v/>
      </c>
      <c r="AB27" s="4" t="str">
        <f>IF($A27="","",COUNTIFS(RawData[Date],$A27,RawData[Slot],25))</f>
        <v/>
      </c>
      <c r="AC27" s="4" t="str">
        <f>IF($A27="","",COUNTIFS(RawData[Date],$A27,RawData[Slot],26))</f>
        <v/>
      </c>
      <c r="AD27" s="4" t="str">
        <f>IF($A27="","",COUNTIFS(RawData[Date],$A27,RawData[Slot],27))</f>
        <v/>
      </c>
      <c r="AE27" s="4" t="str">
        <f>IF($A27="","",COUNTIFS(RawData[Date],$A27,RawData[Slot],28))</f>
        <v/>
      </c>
      <c r="AF27" s="4" t="str">
        <f>IF($A27="","",COUNTIFS(RawData[Date],$A27,RawData[Slot],29))</f>
        <v/>
      </c>
      <c r="AG27" s="4" t="str">
        <f>IF($A27="","",COUNTIFS(RawData[Date],$A27,RawData[Slot],30))</f>
        <v/>
      </c>
      <c r="AH27" s="4" t="str">
        <f>IF($A27="","",COUNTIFS(RawData[Date],$A27,RawData[Slot],31))</f>
        <v/>
      </c>
      <c r="AI27" s="4" t="str">
        <f>IF($A27="","",COUNTIFS(RawData[Date],$A27,RawData[Slot],32))</f>
        <v/>
      </c>
      <c r="AJ27" s="4" t="str">
        <f>IF($A27="","",COUNTIFS(RawData[Date],$A27,RawData[Slot],33))</f>
        <v/>
      </c>
      <c r="AK27" s="4" t="str">
        <f>IF($A27="","",COUNTIFS(RawData[Date],$A27,RawData[Slot],34))</f>
        <v/>
      </c>
      <c r="AL27" s="4" t="str">
        <f>IF($A27="","",COUNTIFS(RawData[Date],$A27,RawData[Slot],35))</f>
        <v/>
      </c>
      <c r="AM27" s="4" t="str">
        <f>IF($A27="","",COUNTIFS(RawData[Date],$A27,RawData[Slot],36))</f>
        <v/>
      </c>
      <c r="AN27" s="4" t="str">
        <f>IF($A27="","",COUNTIFS(RawData[Date],$A27,RawData[Slot],37))</f>
        <v/>
      </c>
      <c r="AO27" s="4" t="str">
        <f>IF($A27="","",COUNTIFS(RawData[Date],$A27,RawData[Slot],38))</f>
        <v/>
      </c>
      <c r="AP27" s="4" t="str">
        <f>IF($A27="","",COUNTIFS(RawData[Date],$A27,RawData[Slot],39))</f>
        <v/>
      </c>
      <c r="AQ27" s="4" t="str">
        <f>IF($A27="","",COUNTIFS(RawData[Date],$A27,RawData[Slot],40))</f>
        <v/>
      </c>
      <c r="AR27" s="4" t="str">
        <f>IF($A27="","",COUNTIFS(RawData[Date],$A27,RawData[Slot],41))</f>
        <v/>
      </c>
      <c r="AS27" s="4" t="str">
        <f>IF($A27="","",COUNTIFS(RawData[Date],$A27,RawData[Slot],42))</f>
        <v/>
      </c>
      <c r="AT27" s="4" t="str">
        <f>IF($A27="","",COUNTIFS(RawData[Date],$A27,RawData[Slot],43))</f>
        <v/>
      </c>
      <c r="AU27" s="4" t="str">
        <f>IF($A27="","",COUNTIFS(RawData[Date],$A27,RawData[Slot],44))</f>
        <v/>
      </c>
      <c r="AV27" s="4" t="str">
        <f>IF($A27="","",COUNTIFS(RawData[Date],$A27,RawData[Slot],45))</f>
        <v/>
      </c>
      <c r="AW27" s="4" t="str">
        <f>IF($A27="","",COUNTIFS(RawData[Date],$A27,RawData[Slot],46))</f>
        <v/>
      </c>
      <c r="AX27" s="4" t="str">
        <f>IF($A27="","",COUNTIFS(RawData[Date],$A27,RawData[Slot],47))</f>
        <v/>
      </c>
      <c r="AY27" s="4" t="str">
        <f t="shared" si="1"/>
        <v/>
      </c>
    </row>
    <row r="28" spans="1:51" x14ac:dyDescent="0.25">
      <c r="A28" s="7"/>
      <c r="B28" s="4" t="str">
        <f t="shared" si="0"/>
        <v/>
      </c>
      <c r="C28" s="4" t="str">
        <f>IF($A28="","",COUNTIFS(RawData[Date],$A28,RawData[Slot],0))</f>
        <v/>
      </c>
      <c r="D28" s="4" t="str">
        <f>IF($A28="","",COUNTIFS(RawData[Date],$A28,RawData[Slot],1))</f>
        <v/>
      </c>
      <c r="E28" s="4" t="str">
        <f>IF($A28="","",COUNTIFS(RawData[Date],$A28,RawData[Slot],2))</f>
        <v/>
      </c>
      <c r="F28" s="4" t="str">
        <f>IF($A28="","",COUNTIFS(RawData[Date],$A28,RawData[Slot],3))</f>
        <v/>
      </c>
      <c r="G28" s="4" t="str">
        <f>IF($A28="","",COUNTIFS(RawData[Date],$A28,RawData[Slot],4))</f>
        <v/>
      </c>
      <c r="H28" s="4" t="str">
        <f>IF($A28="","",COUNTIFS(RawData[Date],$A28,RawData[Slot],5))</f>
        <v/>
      </c>
      <c r="I28" s="4" t="str">
        <f>IF($A28="","",COUNTIFS(RawData[Date],$A28,RawData[Slot],6))</f>
        <v/>
      </c>
      <c r="J28" s="4" t="str">
        <f>IF($A28="","",COUNTIFS(RawData[Date],$A28,RawData[Slot],7))</f>
        <v/>
      </c>
      <c r="K28" s="4" t="str">
        <f>IF($A28="","",COUNTIFS(RawData[Date],$A28,RawData[Slot],8))</f>
        <v/>
      </c>
      <c r="L28" s="4" t="str">
        <f>IF($A28="","",COUNTIFS(RawData[Date],$A28,RawData[Slot],9))</f>
        <v/>
      </c>
      <c r="M28" s="4" t="str">
        <f>IF($A28="","",COUNTIFS(RawData[Date],$A28,RawData[Slot],10))</f>
        <v/>
      </c>
      <c r="N28" s="4" t="str">
        <f>IF($A28="","",COUNTIFS(RawData[Date],$A28,RawData[Slot],11))</f>
        <v/>
      </c>
      <c r="O28" s="4" t="str">
        <f>IF($A28="","",COUNTIFS(RawData[Date],$A28,RawData[Slot],12))</f>
        <v/>
      </c>
      <c r="P28" s="4" t="str">
        <f>IF($A28="","",COUNTIFS(RawData[Date],$A28,RawData[Slot],13))</f>
        <v/>
      </c>
      <c r="Q28" s="4" t="str">
        <f>IF($A28="","",COUNTIFS(RawData[Date],$A28,RawData[Slot],14))</f>
        <v/>
      </c>
      <c r="R28" s="4" t="str">
        <f>IF($A28="","",COUNTIFS(RawData[Date],$A28,RawData[Slot],15))</f>
        <v/>
      </c>
      <c r="S28" s="4" t="str">
        <f>IF($A28="","",COUNTIFS(RawData[Date],$A28,RawData[Slot],16))</f>
        <v/>
      </c>
      <c r="T28" s="4" t="str">
        <f>IF($A28="","",COUNTIFS(RawData[Date],$A28,RawData[Slot],17))</f>
        <v/>
      </c>
      <c r="U28" s="4" t="str">
        <f>IF($A28="","",COUNTIFS(RawData[Date],$A28,RawData[Slot],18))</f>
        <v/>
      </c>
      <c r="V28" s="4" t="str">
        <f>IF($A28="","",COUNTIFS(RawData[Date],$A28,RawData[Slot],19))</f>
        <v/>
      </c>
      <c r="W28" s="4" t="str">
        <f>IF($A28="","",COUNTIFS(RawData[Date],$A28,RawData[Slot],20))</f>
        <v/>
      </c>
      <c r="X28" s="4" t="str">
        <f>IF($A28="","",COUNTIFS(RawData[Date],$A28,RawData[Slot],21))</f>
        <v/>
      </c>
      <c r="Y28" s="4" t="str">
        <f>IF($A28="","",COUNTIFS(RawData[Date],$A28,RawData[Slot],22))</f>
        <v/>
      </c>
      <c r="Z28" s="4" t="str">
        <f>IF($A28="","",COUNTIFS(RawData[Date],$A28,RawData[Slot],23))</f>
        <v/>
      </c>
      <c r="AA28" s="4" t="str">
        <f>IF($A28="","",COUNTIFS(RawData[Date],$A28,RawData[Slot],24))</f>
        <v/>
      </c>
      <c r="AB28" s="4" t="str">
        <f>IF($A28="","",COUNTIFS(RawData[Date],$A28,RawData[Slot],25))</f>
        <v/>
      </c>
      <c r="AC28" s="4" t="str">
        <f>IF($A28="","",COUNTIFS(RawData[Date],$A28,RawData[Slot],26))</f>
        <v/>
      </c>
      <c r="AD28" s="4" t="str">
        <f>IF($A28="","",COUNTIFS(RawData[Date],$A28,RawData[Slot],27))</f>
        <v/>
      </c>
      <c r="AE28" s="4" t="str">
        <f>IF($A28="","",COUNTIFS(RawData[Date],$A28,RawData[Slot],28))</f>
        <v/>
      </c>
      <c r="AF28" s="4" t="str">
        <f>IF($A28="","",COUNTIFS(RawData[Date],$A28,RawData[Slot],29))</f>
        <v/>
      </c>
      <c r="AG28" s="4" t="str">
        <f>IF($A28="","",COUNTIFS(RawData[Date],$A28,RawData[Slot],30))</f>
        <v/>
      </c>
      <c r="AH28" s="4" t="str">
        <f>IF($A28="","",COUNTIFS(RawData[Date],$A28,RawData[Slot],31))</f>
        <v/>
      </c>
      <c r="AI28" s="4" t="str">
        <f>IF($A28="","",COUNTIFS(RawData[Date],$A28,RawData[Slot],32))</f>
        <v/>
      </c>
      <c r="AJ28" s="4" t="str">
        <f>IF($A28="","",COUNTIFS(RawData[Date],$A28,RawData[Slot],33))</f>
        <v/>
      </c>
      <c r="AK28" s="4" t="str">
        <f>IF($A28="","",COUNTIFS(RawData[Date],$A28,RawData[Slot],34))</f>
        <v/>
      </c>
      <c r="AL28" s="4" t="str">
        <f>IF($A28="","",COUNTIFS(RawData[Date],$A28,RawData[Slot],35))</f>
        <v/>
      </c>
      <c r="AM28" s="4" t="str">
        <f>IF($A28="","",COUNTIFS(RawData[Date],$A28,RawData[Slot],36))</f>
        <v/>
      </c>
      <c r="AN28" s="4" t="str">
        <f>IF($A28="","",COUNTIFS(RawData[Date],$A28,RawData[Slot],37))</f>
        <v/>
      </c>
      <c r="AO28" s="4" t="str">
        <f>IF($A28="","",COUNTIFS(RawData[Date],$A28,RawData[Slot],38))</f>
        <v/>
      </c>
      <c r="AP28" s="4" t="str">
        <f>IF($A28="","",COUNTIFS(RawData[Date],$A28,RawData[Slot],39))</f>
        <v/>
      </c>
      <c r="AQ28" s="4" t="str">
        <f>IF($A28="","",COUNTIFS(RawData[Date],$A28,RawData[Slot],40))</f>
        <v/>
      </c>
      <c r="AR28" s="4" t="str">
        <f>IF($A28="","",COUNTIFS(RawData[Date],$A28,RawData[Slot],41))</f>
        <v/>
      </c>
      <c r="AS28" s="4" t="str">
        <f>IF($A28="","",COUNTIFS(RawData[Date],$A28,RawData[Slot],42))</f>
        <v/>
      </c>
      <c r="AT28" s="4" t="str">
        <f>IF($A28="","",COUNTIFS(RawData[Date],$A28,RawData[Slot],43))</f>
        <v/>
      </c>
      <c r="AU28" s="4" t="str">
        <f>IF($A28="","",COUNTIFS(RawData[Date],$A28,RawData[Slot],44))</f>
        <v/>
      </c>
      <c r="AV28" s="4" t="str">
        <f>IF($A28="","",COUNTIFS(RawData[Date],$A28,RawData[Slot],45))</f>
        <v/>
      </c>
      <c r="AW28" s="4" t="str">
        <f>IF($A28="","",COUNTIFS(RawData[Date],$A28,RawData[Slot],46))</f>
        <v/>
      </c>
      <c r="AX28" s="4" t="str">
        <f>IF($A28="","",COUNTIFS(RawData[Date],$A28,RawData[Slot],47))</f>
        <v/>
      </c>
      <c r="AY28" s="4" t="str">
        <f t="shared" si="1"/>
        <v/>
      </c>
    </row>
    <row r="29" spans="1:51" x14ac:dyDescent="0.25">
      <c r="A29" s="7"/>
      <c r="B29" s="4" t="str">
        <f t="shared" si="0"/>
        <v/>
      </c>
      <c r="C29" s="4" t="str">
        <f>IF($A29="","",COUNTIFS(RawData[Date],$A29,RawData[Slot],0))</f>
        <v/>
      </c>
      <c r="D29" s="4" t="str">
        <f>IF($A29="","",COUNTIFS(RawData[Date],$A29,RawData[Slot],1))</f>
        <v/>
      </c>
      <c r="E29" s="4" t="str">
        <f>IF($A29="","",COUNTIFS(RawData[Date],$A29,RawData[Slot],2))</f>
        <v/>
      </c>
      <c r="F29" s="4" t="str">
        <f>IF($A29="","",COUNTIFS(RawData[Date],$A29,RawData[Slot],3))</f>
        <v/>
      </c>
      <c r="G29" s="4" t="str">
        <f>IF($A29="","",COUNTIFS(RawData[Date],$A29,RawData[Slot],4))</f>
        <v/>
      </c>
      <c r="H29" s="4" t="str">
        <f>IF($A29="","",COUNTIFS(RawData[Date],$A29,RawData[Slot],5))</f>
        <v/>
      </c>
      <c r="I29" s="4" t="str">
        <f>IF($A29="","",COUNTIFS(RawData[Date],$A29,RawData[Slot],6))</f>
        <v/>
      </c>
      <c r="J29" s="4" t="str">
        <f>IF($A29="","",COUNTIFS(RawData[Date],$A29,RawData[Slot],7))</f>
        <v/>
      </c>
      <c r="K29" s="4" t="str">
        <f>IF($A29="","",COUNTIFS(RawData[Date],$A29,RawData[Slot],8))</f>
        <v/>
      </c>
      <c r="L29" s="4" t="str">
        <f>IF($A29="","",COUNTIFS(RawData[Date],$A29,RawData[Slot],9))</f>
        <v/>
      </c>
      <c r="M29" s="4" t="str">
        <f>IF($A29="","",COUNTIFS(RawData[Date],$A29,RawData[Slot],10))</f>
        <v/>
      </c>
      <c r="N29" s="4" t="str">
        <f>IF($A29="","",COUNTIFS(RawData[Date],$A29,RawData[Slot],11))</f>
        <v/>
      </c>
      <c r="O29" s="4" t="str">
        <f>IF($A29="","",COUNTIFS(RawData[Date],$A29,RawData[Slot],12))</f>
        <v/>
      </c>
      <c r="P29" s="4" t="str">
        <f>IF($A29="","",COUNTIFS(RawData[Date],$A29,RawData[Slot],13))</f>
        <v/>
      </c>
      <c r="Q29" s="4" t="str">
        <f>IF($A29="","",COUNTIFS(RawData[Date],$A29,RawData[Slot],14))</f>
        <v/>
      </c>
      <c r="R29" s="4" t="str">
        <f>IF($A29="","",COUNTIFS(RawData[Date],$A29,RawData[Slot],15))</f>
        <v/>
      </c>
      <c r="S29" s="4" t="str">
        <f>IF($A29="","",COUNTIFS(RawData[Date],$A29,RawData[Slot],16))</f>
        <v/>
      </c>
      <c r="T29" s="4" t="str">
        <f>IF($A29="","",COUNTIFS(RawData[Date],$A29,RawData[Slot],17))</f>
        <v/>
      </c>
      <c r="U29" s="4" t="str">
        <f>IF($A29="","",COUNTIFS(RawData[Date],$A29,RawData[Slot],18))</f>
        <v/>
      </c>
      <c r="V29" s="4" t="str">
        <f>IF($A29="","",COUNTIFS(RawData[Date],$A29,RawData[Slot],19))</f>
        <v/>
      </c>
      <c r="W29" s="4" t="str">
        <f>IF($A29="","",COUNTIFS(RawData[Date],$A29,RawData[Slot],20))</f>
        <v/>
      </c>
      <c r="X29" s="4" t="str">
        <f>IF($A29="","",COUNTIFS(RawData[Date],$A29,RawData[Slot],21))</f>
        <v/>
      </c>
      <c r="Y29" s="4" t="str">
        <f>IF($A29="","",COUNTIFS(RawData[Date],$A29,RawData[Slot],22))</f>
        <v/>
      </c>
      <c r="Z29" s="4" t="str">
        <f>IF($A29="","",COUNTIFS(RawData[Date],$A29,RawData[Slot],23))</f>
        <v/>
      </c>
      <c r="AA29" s="4" t="str">
        <f>IF($A29="","",COUNTIFS(RawData[Date],$A29,RawData[Slot],24))</f>
        <v/>
      </c>
      <c r="AB29" s="4" t="str">
        <f>IF($A29="","",COUNTIFS(RawData[Date],$A29,RawData[Slot],25))</f>
        <v/>
      </c>
      <c r="AC29" s="4" t="str">
        <f>IF($A29="","",COUNTIFS(RawData[Date],$A29,RawData[Slot],26))</f>
        <v/>
      </c>
      <c r="AD29" s="4" t="str">
        <f>IF($A29="","",COUNTIFS(RawData[Date],$A29,RawData[Slot],27))</f>
        <v/>
      </c>
      <c r="AE29" s="4" t="str">
        <f>IF($A29="","",COUNTIFS(RawData[Date],$A29,RawData[Slot],28))</f>
        <v/>
      </c>
      <c r="AF29" s="4" t="str">
        <f>IF($A29="","",COUNTIFS(RawData[Date],$A29,RawData[Slot],29))</f>
        <v/>
      </c>
      <c r="AG29" s="4" t="str">
        <f>IF($A29="","",COUNTIFS(RawData[Date],$A29,RawData[Slot],30))</f>
        <v/>
      </c>
      <c r="AH29" s="4" t="str">
        <f>IF($A29="","",COUNTIFS(RawData[Date],$A29,RawData[Slot],31))</f>
        <v/>
      </c>
      <c r="AI29" s="4" t="str">
        <f>IF($A29="","",COUNTIFS(RawData[Date],$A29,RawData[Slot],32))</f>
        <v/>
      </c>
      <c r="AJ29" s="4" t="str">
        <f>IF($A29="","",COUNTIFS(RawData[Date],$A29,RawData[Slot],33))</f>
        <v/>
      </c>
      <c r="AK29" s="4" t="str">
        <f>IF($A29="","",COUNTIFS(RawData[Date],$A29,RawData[Slot],34))</f>
        <v/>
      </c>
      <c r="AL29" s="4" t="str">
        <f>IF($A29="","",COUNTIFS(RawData[Date],$A29,RawData[Slot],35))</f>
        <v/>
      </c>
      <c r="AM29" s="4" t="str">
        <f>IF($A29="","",COUNTIFS(RawData[Date],$A29,RawData[Slot],36))</f>
        <v/>
      </c>
      <c r="AN29" s="4" t="str">
        <f>IF($A29="","",COUNTIFS(RawData[Date],$A29,RawData[Slot],37))</f>
        <v/>
      </c>
      <c r="AO29" s="4" t="str">
        <f>IF($A29="","",COUNTIFS(RawData[Date],$A29,RawData[Slot],38))</f>
        <v/>
      </c>
      <c r="AP29" s="4" t="str">
        <f>IF($A29="","",COUNTIFS(RawData[Date],$A29,RawData[Slot],39))</f>
        <v/>
      </c>
      <c r="AQ29" s="4" t="str">
        <f>IF($A29="","",COUNTIFS(RawData[Date],$A29,RawData[Slot],40))</f>
        <v/>
      </c>
      <c r="AR29" s="4" t="str">
        <f>IF($A29="","",COUNTIFS(RawData[Date],$A29,RawData[Slot],41))</f>
        <v/>
      </c>
      <c r="AS29" s="4" t="str">
        <f>IF($A29="","",COUNTIFS(RawData[Date],$A29,RawData[Slot],42))</f>
        <v/>
      </c>
      <c r="AT29" s="4" t="str">
        <f>IF($A29="","",COUNTIFS(RawData[Date],$A29,RawData[Slot],43))</f>
        <v/>
      </c>
      <c r="AU29" s="4" t="str">
        <f>IF($A29="","",COUNTIFS(RawData[Date],$A29,RawData[Slot],44))</f>
        <v/>
      </c>
      <c r="AV29" s="4" t="str">
        <f>IF($A29="","",COUNTIFS(RawData[Date],$A29,RawData[Slot],45))</f>
        <v/>
      </c>
      <c r="AW29" s="4" t="str">
        <f>IF($A29="","",COUNTIFS(RawData[Date],$A29,RawData[Slot],46))</f>
        <v/>
      </c>
      <c r="AX29" s="4" t="str">
        <f>IF($A29="","",COUNTIFS(RawData[Date],$A29,RawData[Slot],47))</f>
        <v/>
      </c>
      <c r="AY29" s="4" t="str">
        <f t="shared" si="1"/>
        <v/>
      </c>
    </row>
    <row r="30" spans="1:51" x14ac:dyDescent="0.25">
      <c r="A30" s="7"/>
      <c r="B30" s="4" t="str">
        <f t="shared" si="0"/>
        <v/>
      </c>
      <c r="C30" s="4" t="str">
        <f>IF($A30="","",COUNTIFS(RawData[Date],$A30,RawData[Slot],0))</f>
        <v/>
      </c>
      <c r="D30" s="4" t="str">
        <f>IF($A30="","",COUNTIFS(RawData[Date],$A30,RawData[Slot],1))</f>
        <v/>
      </c>
      <c r="E30" s="4" t="str">
        <f>IF($A30="","",COUNTIFS(RawData[Date],$A30,RawData[Slot],2))</f>
        <v/>
      </c>
      <c r="F30" s="4" t="str">
        <f>IF($A30="","",COUNTIFS(RawData[Date],$A30,RawData[Slot],3))</f>
        <v/>
      </c>
      <c r="G30" s="4" t="str">
        <f>IF($A30="","",COUNTIFS(RawData[Date],$A30,RawData[Slot],4))</f>
        <v/>
      </c>
      <c r="H30" s="4" t="str">
        <f>IF($A30="","",COUNTIFS(RawData[Date],$A30,RawData[Slot],5))</f>
        <v/>
      </c>
      <c r="I30" s="4" t="str">
        <f>IF($A30="","",COUNTIFS(RawData[Date],$A30,RawData[Slot],6))</f>
        <v/>
      </c>
      <c r="J30" s="4" t="str">
        <f>IF($A30="","",COUNTIFS(RawData[Date],$A30,RawData[Slot],7))</f>
        <v/>
      </c>
      <c r="K30" s="4" t="str">
        <f>IF($A30="","",COUNTIFS(RawData[Date],$A30,RawData[Slot],8))</f>
        <v/>
      </c>
      <c r="L30" s="4" t="str">
        <f>IF($A30="","",COUNTIFS(RawData[Date],$A30,RawData[Slot],9))</f>
        <v/>
      </c>
      <c r="M30" s="4" t="str">
        <f>IF($A30="","",COUNTIFS(RawData[Date],$A30,RawData[Slot],10))</f>
        <v/>
      </c>
      <c r="N30" s="4" t="str">
        <f>IF($A30="","",COUNTIFS(RawData[Date],$A30,RawData[Slot],11))</f>
        <v/>
      </c>
      <c r="O30" s="4" t="str">
        <f>IF($A30="","",COUNTIFS(RawData[Date],$A30,RawData[Slot],12))</f>
        <v/>
      </c>
      <c r="P30" s="4" t="str">
        <f>IF($A30="","",COUNTIFS(RawData[Date],$A30,RawData[Slot],13))</f>
        <v/>
      </c>
      <c r="Q30" s="4" t="str">
        <f>IF($A30="","",COUNTIFS(RawData[Date],$A30,RawData[Slot],14))</f>
        <v/>
      </c>
      <c r="R30" s="4" t="str">
        <f>IF($A30="","",COUNTIFS(RawData[Date],$A30,RawData[Slot],15))</f>
        <v/>
      </c>
      <c r="S30" s="4" t="str">
        <f>IF($A30="","",COUNTIFS(RawData[Date],$A30,RawData[Slot],16))</f>
        <v/>
      </c>
      <c r="T30" s="4" t="str">
        <f>IF($A30="","",COUNTIFS(RawData[Date],$A30,RawData[Slot],17))</f>
        <v/>
      </c>
      <c r="U30" s="4" t="str">
        <f>IF($A30="","",COUNTIFS(RawData[Date],$A30,RawData[Slot],18))</f>
        <v/>
      </c>
      <c r="V30" s="4" t="str">
        <f>IF($A30="","",COUNTIFS(RawData[Date],$A30,RawData[Slot],19))</f>
        <v/>
      </c>
      <c r="W30" s="4" t="str">
        <f>IF($A30="","",COUNTIFS(RawData[Date],$A30,RawData[Slot],20))</f>
        <v/>
      </c>
      <c r="X30" s="4" t="str">
        <f>IF($A30="","",COUNTIFS(RawData[Date],$A30,RawData[Slot],21))</f>
        <v/>
      </c>
      <c r="Y30" s="4" t="str">
        <f>IF($A30="","",COUNTIFS(RawData[Date],$A30,RawData[Slot],22))</f>
        <v/>
      </c>
      <c r="Z30" s="4" t="str">
        <f>IF($A30="","",COUNTIFS(RawData[Date],$A30,RawData[Slot],23))</f>
        <v/>
      </c>
      <c r="AA30" s="4" t="str">
        <f>IF($A30="","",COUNTIFS(RawData[Date],$A30,RawData[Slot],24))</f>
        <v/>
      </c>
      <c r="AB30" s="4" t="str">
        <f>IF($A30="","",COUNTIFS(RawData[Date],$A30,RawData[Slot],25))</f>
        <v/>
      </c>
      <c r="AC30" s="4" t="str">
        <f>IF($A30="","",COUNTIFS(RawData[Date],$A30,RawData[Slot],26))</f>
        <v/>
      </c>
      <c r="AD30" s="4" t="str">
        <f>IF($A30="","",COUNTIFS(RawData[Date],$A30,RawData[Slot],27))</f>
        <v/>
      </c>
      <c r="AE30" s="4" t="str">
        <f>IF($A30="","",COUNTIFS(RawData[Date],$A30,RawData[Slot],28))</f>
        <v/>
      </c>
      <c r="AF30" s="4" t="str">
        <f>IF($A30="","",COUNTIFS(RawData[Date],$A30,RawData[Slot],29))</f>
        <v/>
      </c>
      <c r="AG30" s="4" t="str">
        <f>IF($A30="","",COUNTIFS(RawData[Date],$A30,RawData[Slot],30))</f>
        <v/>
      </c>
      <c r="AH30" s="4" t="str">
        <f>IF($A30="","",COUNTIFS(RawData[Date],$A30,RawData[Slot],31))</f>
        <v/>
      </c>
      <c r="AI30" s="4" t="str">
        <f>IF($A30="","",COUNTIFS(RawData[Date],$A30,RawData[Slot],32))</f>
        <v/>
      </c>
      <c r="AJ30" s="4" t="str">
        <f>IF($A30="","",COUNTIFS(RawData[Date],$A30,RawData[Slot],33))</f>
        <v/>
      </c>
      <c r="AK30" s="4" t="str">
        <f>IF($A30="","",COUNTIFS(RawData[Date],$A30,RawData[Slot],34))</f>
        <v/>
      </c>
      <c r="AL30" s="4" t="str">
        <f>IF($A30="","",COUNTIFS(RawData[Date],$A30,RawData[Slot],35))</f>
        <v/>
      </c>
      <c r="AM30" s="4" t="str">
        <f>IF($A30="","",COUNTIFS(RawData[Date],$A30,RawData[Slot],36))</f>
        <v/>
      </c>
      <c r="AN30" s="4" t="str">
        <f>IF($A30="","",COUNTIFS(RawData[Date],$A30,RawData[Slot],37))</f>
        <v/>
      </c>
      <c r="AO30" s="4" t="str">
        <f>IF($A30="","",COUNTIFS(RawData[Date],$A30,RawData[Slot],38))</f>
        <v/>
      </c>
      <c r="AP30" s="4" t="str">
        <f>IF($A30="","",COUNTIFS(RawData[Date],$A30,RawData[Slot],39))</f>
        <v/>
      </c>
      <c r="AQ30" s="4" t="str">
        <f>IF($A30="","",COUNTIFS(RawData[Date],$A30,RawData[Slot],40))</f>
        <v/>
      </c>
      <c r="AR30" s="4" t="str">
        <f>IF($A30="","",COUNTIFS(RawData[Date],$A30,RawData[Slot],41))</f>
        <v/>
      </c>
      <c r="AS30" s="4" t="str">
        <f>IF($A30="","",COUNTIFS(RawData[Date],$A30,RawData[Slot],42))</f>
        <v/>
      </c>
      <c r="AT30" s="4" t="str">
        <f>IF($A30="","",COUNTIFS(RawData[Date],$A30,RawData[Slot],43))</f>
        <v/>
      </c>
      <c r="AU30" s="4" t="str">
        <f>IF($A30="","",COUNTIFS(RawData[Date],$A30,RawData[Slot],44))</f>
        <v/>
      </c>
      <c r="AV30" s="4" t="str">
        <f>IF($A30="","",COUNTIFS(RawData[Date],$A30,RawData[Slot],45))</f>
        <v/>
      </c>
      <c r="AW30" s="4" t="str">
        <f>IF($A30="","",COUNTIFS(RawData[Date],$A30,RawData[Slot],46))</f>
        <v/>
      </c>
      <c r="AX30" s="4" t="str">
        <f>IF($A30="","",COUNTIFS(RawData[Date],$A30,RawData[Slot],47))</f>
        <v/>
      </c>
      <c r="AY30" s="4" t="str">
        <f t="shared" si="1"/>
        <v/>
      </c>
    </row>
    <row r="31" spans="1:51" x14ac:dyDescent="0.25">
      <c r="A31" s="7"/>
      <c r="B31" s="4" t="str">
        <f t="shared" si="0"/>
        <v/>
      </c>
      <c r="C31" s="4" t="str">
        <f>IF($A31="","",COUNTIFS(RawData[Date],$A31,RawData[Slot],0))</f>
        <v/>
      </c>
      <c r="D31" s="4" t="str">
        <f>IF($A31="","",COUNTIFS(RawData[Date],$A31,RawData[Slot],1))</f>
        <v/>
      </c>
      <c r="E31" s="4" t="str">
        <f>IF($A31="","",COUNTIFS(RawData[Date],$A31,RawData[Slot],2))</f>
        <v/>
      </c>
      <c r="F31" s="4" t="str">
        <f>IF($A31="","",COUNTIFS(RawData[Date],$A31,RawData[Slot],3))</f>
        <v/>
      </c>
      <c r="G31" s="4" t="str">
        <f>IF($A31="","",COUNTIFS(RawData[Date],$A31,RawData[Slot],4))</f>
        <v/>
      </c>
      <c r="H31" s="4" t="str">
        <f>IF($A31="","",COUNTIFS(RawData[Date],$A31,RawData[Slot],5))</f>
        <v/>
      </c>
      <c r="I31" s="4" t="str">
        <f>IF($A31="","",COUNTIFS(RawData[Date],$A31,RawData[Slot],6))</f>
        <v/>
      </c>
      <c r="J31" s="4" t="str">
        <f>IF($A31="","",COUNTIFS(RawData[Date],$A31,RawData[Slot],7))</f>
        <v/>
      </c>
      <c r="K31" s="4" t="str">
        <f>IF($A31="","",COUNTIFS(RawData[Date],$A31,RawData[Slot],8))</f>
        <v/>
      </c>
      <c r="L31" s="4" t="str">
        <f>IF($A31="","",COUNTIFS(RawData[Date],$A31,RawData[Slot],9))</f>
        <v/>
      </c>
      <c r="M31" s="4" t="str">
        <f>IF($A31="","",COUNTIFS(RawData[Date],$A31,RawData[Slot],10))</f>
        <v/>
      </c>
      <c r="N31" s="4" t="str">
        <f>IF($A31="","",COUNTIFS(RawData[Date],$A31,RawData[Slot],11))</f>
        <v/>
      </c>
      <c r="O31" s="4" t="str">
        <f>IF($A31="","",COUNTIFS(RawData[Date],$A31,RawData[Slot],12))</f>
        <v/>
      </c>
      <c r="P31" s="4" t="str">
        <f>IF($A31="","",COUNTIFS(RawData[Date],$A31,RawData[Slot],13))</f>
        <v/>
      </c>
      <c r="Q31" s="4" t="str">
        <f>IF($A31="","",COUNTIFS(RawData[Date],$A31,RawData[Slot],14))</f>
        <v/>
      </c>
      <c r="R31" s="4" t="str">
        <f>IF($A31="","",COUNTIFS(RawData[Date],$A31,RawData[Slot],15))</f>
        <v/>
      </c>
      <c r="S31" s="4" t="str">
        <f>IF($A31="","",COUNTIFS(RawData[Date],$A31,RawData[Slot],16))</f>
        <v/>
      </c>
      <c r="T31" s="4" t="str">
        <f>IF($A31="","",COUNTIFS(RawData[Date],$A31,RawData[Slot],17))</f>
        <v/>
      </c>
      <c r="U31" s="4" t="str">
        <f>IF($A31="","",COUNTIFS(RawData[Date],$A31,RawData[Slot],18))</f>
        <v/>
      </c>
      <c r="V31" s="4" t="str">
        <f>IF($A31="","",COUNTIFS(RawData[Date],$A31,RawData[Slot],19))</f>
        <v/>
      </c>
      <c r="W31" s="4" t="str">
        <f>IF($A31="","",COUNTIFS(RawData[Date],$A31,RawData[Slot],20))</f>
        <v/>
      </c>
      <c r="X31" s="4" t="str">
        <f>IF($A31="","",COUNTIFS(RawData[Date],$A31,RawData[Slot],21))</f>
        <v/>
      </c>
      <c r="Y31" s="4" t="str">
        <f>IF($A31="","",COUNTIFS(RawData[Date],$A31,RawData[Slot],22))</f>
        <v/>
      </c>
      <c r="Z31" s="4" t="str">
        <f>IF($A31="","",COUNTIFS(RawData[Date],$A31,RawData[Slot],23))</f>
        <v/>
      </c>
      <c r="AA31" s="4" t="str">
        <f>IF($A31="","",COUNTIFS(RawData[Date],$A31,RawData[Slot],24))</f>
        <v/>
      </c>
      <c r="AB31" s="4" t="str">
        <f>IF($A31="","",COUNTIFS(RawData[Date],$A31,RawData[Slot],25))</f>
        <v/>
      </c>
      <c r="AC31" s="4" t="str">
        <f>IF($A31="","",COUNTIFS(RawData[Date],$A31,RawData[Slot],26))</f>
        <v/>
      </c>
      <c r="AD31" s="4" t="str">
        <f>IF($A31="","",COUNTIFS(RawData[Date],$A31,RawData[Slot],27))</f>
        <v/>
      </c>
      <c r="AE31" s="4" t="str">
        <f>IF($A31="","",COUNTIFS(RawData[Date],$A31,RawData[Slot],28))</f>
        <v/>
      </c>
      <c r="AF31" s="4" t="str">
        <f>IF($A31="","",COUNTIFS(RawData[Date],$A31,RawData[Slot],29))</f>
        <v/>
      </c>
      <c r="AG31" s="4" t="str">
        <f>IF($A31="","",COUNTIFS(RawData[Date],$A31,RawData[Slot],30))</f>
        <v/>
      </c>
      <c r="AH31" s="4" t="str">
        <f>IF($A31="","",COUNTIFS(RawData[Date],$A31,RawData[Slot],31))</f>
        <v/>
      </c>
      <c r="AI31" s="4" t="str">
        <f>IF($A31="","",COUNTIFS(RawData[Date],$A31,RawData[Slot],32))</f>
        <v/>
      </c>
      <c r="AJ31" s="4" t="str">
        <f>IF($A31="","",COUNTIFS(RawData[Date],$A31,RawData[Slot],33))</f>
        <v/>
      </c>
      <c r="AK31" s="4" t="str">
        <f>IF($A31="","",COUNTIFS(RawData[Date],$A31,RawData[Slot],34))</f>
        <v/>
      </c>
      <c r="AL31" s="4" t="str">
        <f>IF($A31="","",COUNTIFS(RawData[Date],$A31,RawData[Slot],35))</f>
        <v/>
      </c>
      <c r="AM31" s="4" t="str">
        <f>IF($A31="","",COUNTIFS(RawData[Date],$A31,RawData[Slot],36))</f>
        <v/>
      </c>
      <c r="AN31" s="4" t="str">
        <f>IF($A31="","",COUNTIFS(RawData[Date],$A31,RawData[Slot],37))</f>
        <v/>
      </c>
      <c r="AO31" s="4" t="str">
        <f>IF($A31="","",COUNTIFS(RawData[Date],$A31,RawData[Slot],38))</f>
        <v/>
      </c>
      <c r="AP31" s="4" t="str">
        <f>IF($A31="","",COUNTIFS(RawData[Date],$A31,RawData[Slot],39))</f>
        <v/>
      </c>
      <c r="AQ31" s="4" t="str">
        <f>IF($A31="","",COUNTIFS(RawData[Date],$A31,RawData[Slot],40))</f>
        <v/>
      </c>
      <c r="AR31" s="4" t="str">
        <f>IF($A31="","",COUNTIFS(RawData[Date],$A31,RawData[Slot],41))</f>
        <v/>
      </c>
      <c r="AS31" s="4" t="str">
        <f>IF($A31="","",COUNTIFS(RawData[Date],$A31,RawData[Slot],42))</f>
        <v/>
      </c>
      <c r="AT31" s="4" t="str">
        <f>IF($A31="","",COUNTIFS(RawData[Date],$A31,RawData[Slot],43))</f>
        <v/>
      </c>
      <c r="AU31" s="4" t="str">
        <f>IF($A31="","",COUNTIFS(RawData[Date],$A31,RawData[Slot],44))</f>
        <v/>
      </c>
      <c r="AV31" s="4" t="str">
        <f>IF($A31="","",COUNTIFS(RawData[Date],$A31,RawData[Slot],45))</f>
        <v/>
      </c>
      <c r="AW31" s="4" t="str">
        <f>IF($A31="","",COUNTIFS(RawData[Date],$A31,RawData[Slot],46))</f>
        <v/>
      </c>
      <c r="AX31" s="4" t="str">
        <f>IF($A31="","",COUNTIFS(RawData[Date],$A31,RawData[Slot],47))</f>
        <v/>
      </c>
      <c r="AY31" s="4" t="str">
        <f t="shared" si="1"/>
        <v/>
      </c>
    </row>
    <row r="32" spans="1:51" x14ac:dyDescent="0.25">
      <c r="A32" s="7"/>
      <c r="B32" s="4" t="str">
        <f t="shared" si="0"/>
        <v/>
      </c>
      <c r="C32" s="4" t="str">
        <f>IF($A32="","",COUNTIFS(RawData[Date],$A32,RawData[Slot],0))</f>
        <v/>
      </c>
      <c r="D32" s="4" t="str">
        <f>IF($A32="","",COUNTIFS(RawData[Date],$A32,RawData[Slot],1))</f>
        <v/>
      </c>
      <c r="E32" s="4" t="str">
        <f>IF($A32="","",COUNTIFS(RawData[Date],$A32,RawData[Slot],2))</f>
        <v/>
      </c>
      <c r="F32" s="4" t="str">
        <f>IF($A32="","",COUNTIFS(RawData[Date],$A32,RawData[Slot],3))</f>
        <v/>
      </c>
      <c r="G32" s="4" t="str">
        <f>IF($A32="","",COUNTIFS(RawData[Date],$A32,RawData[Slot],4))</f>
        <v/>
      </c>
      <c r="H32" s="4" t="str">
        <f>IF($A32="","",COUNTIFS(RawData[Date],$A32,RawData[Slot],5))</f>
        <v/>
      </c>
      <c r="I32" s="4" t="str">
        <f>IF($A32="","",COUNTIFS(RawData[Date],$A32,RawData[Slot],6))</f>
        <v/>
      </c>
      <c r="J32" s="4" t="str">
        <f>IF($A32="","",COUNTIFS(RawData[Date],$A32,RawData[Slot],7))</f>
        <v/>
      </c>
      <c r="K32" s="4" t="str">
        <f>IF($A32="","",COUNTIFS(RawData[Date],$A32,RawData[Slot],8))</f>
        <v/>
      </c>
      <c r="L32" s="4" t="str">
        <f>IF($A32="","",COUNTIFS(RawData[Date],$A32,RawData[Slot],9))</f>
        <v/>
      </c>
      <c r="M32" s="4" t="str">
        <f>IF($A32="","",COUNTIFS(RawData[Date],$A32,RawData[Slot],10))</f>
        <v/>
      </c>
      <c r="N32" s="4" t="str">
        <f>IF($A32="","",COUNTIFS(RawData[Date],$A32,RawData[Slot],11))</f>
        <v/>
      </c>
      <c r="O32" s="4" t="str">
        <f>IF($A32="","",COUNTIFS(RawData[Date],$A32,RawData[Slot],12))</f>
        <v/>
      </c>
      <c r="P32" s="4" t="str">
        <f>IF($A32="","",COUNTIFS(RawData[Date],$A32,RawData[Slot],13))</f>
        <v/>
      </c>
      <c r="Q32" s="4" t="str">
        <f>IF($A32="","",COUNTIFS(RawData[Date],$A32,RawData[Slot],14))</f>
        <v/>
      </c>
      <c r="R32" s="4" t="str">
        <f>IF($A32="","",COUNTIFS(RawData[Date],$A32,RawData[Slot],15))</f>
        <v/>
      </c>
      <c r="S32" s="4" t="str">
        <f>IF($A32="","",COUNTIFS(RawData[Date],$A32,RawData[Slot],16))</f>
        <v/>
      </c>
      <c r="T32" s="4" t="str">
        <f>IF($A32="","",COUNTIFS(RawData[Date],$A32,RawData[Slot],17))</f>
        <v/>
      </c>
      <c r="U32" s="4" t="str">
        <f>IF($A32="","",COUNTIFS(RawData[Date],$A32,RawData[Slot],18))</f>
        <v/>
      </c>
      <c r="V32" s="4" t="str">
        <f>IF($A32="","",COUNTIFS(RawData[Date],$A32,RawData[Slot],19))</f>
        <v/>
      </c>
      <c r="W32" s="4" t="str">
        <f>IF($A32="","",COUNTIFS(RawData[Date],$A32,RawData[Slot],20))</f>
        <v/>
      </c>
      <c r="X32" s="4" t="str">
        <f>IF($A32="","",COUNTIFS(RawData[Date],$A32,RawData[Slot],21))</f>
        <v/>
      </c>
      <c r="Y32" s="4" t="str">
        <f>IF($A32="","",COUNTIFS(RawData[Date],$A32,RawData[Slot],22))</f>
        <v/>
      </c>
      <c r="Z32" s="4" t="str">
        <f>IF($A32="","",COUNTIFS(RawData[Date],$A32,RawData[Slot],23))</f>
        <v/>
      </c>
      <c r="AA32" s="4" t="str">
        <f>IF($A32="","",COUNTIFS(RawData[Date],$A32,RawData[Slot],24))</f>
        <v/>
      </c>
      <c r="AB32" s="4" t="str">
        <f>IF($A32="","",COUNTIFS(RawData[Date],$A32,RawData[Slot],25))</f>
        <v/>
      </c>
      <c r="AC32" s="4" t="str">
        <f>IF($A32="","",COUNTIFS(RawData[Date],$A32,RawData[Slot],26))</f>
        <v/>
      </c>
      <c r="AD32" s="4" t="str">
        <f>IF($A32="","",COUNTIFS(RawData[Date],$A32,RawData[Slot],27))</f>
        <v/>
      </c>
      <c r="AE32" s="4" t="str">
        <f>IF($A32="","",COUNTIFS(RawData[Date],$A32,RawData[Slot],28))</f>
        <v/>
      </c>
      <c r="AF32" s="4" t="str">
        <f>IF($A32="","",COUNTIFS(RawData[Date],$A32,RawData[Slot],29))</f>
        <v/>
      </c>
      <c r="AG32" s="4" t="str">
        <f>IF($A32="","",COUNTIFS(RawData[Date],$A32,RawData[Slot],30))</f>
        <v/>
      </c>
      <c r="AH32" s="4" t="str">
        <f>IF($A32="","",COUNTIFS(RawData[Date],$A32,RawData[Slot],31))</f>
        <v/>
      </c>
      <c r="AI32" s="4" t="str">
        <f>IF($A32="","",COUNTIFS(RawData[Date],$A32,RawData[Slot],32))</f>
        <v/>
      </c>
      <c r="AJ32" s="4" t="str">
        <f>IF($A32="","",COUNTIFS(RawData[Date],$A32,RawData[Slot],33))</f>
        <v/>
      </c>
      <c r="AK32" s="4" t="str">
        <f>IF($A32="","",COUNTIFS(RawData[Date],$A32,RawData[Slot],34))</f>
        <v/>
      </c>
      <c r="AL32" s="4" t="str">
        <f>IF($A32="","",COUNTIFS(RawData[Date],$A32,RawData[Slot],35))</f>
        <v/>
      </c>
      <c r="AM32" s="4" t="str">
        <f>IF($A32="","",COUNTIFS(RawData[Date],$A32,RawData[Slot],36))</f>
        <v/>
      </c>
      <c r="AN32" s="4" t="str">
        <f>IF($A32="","",COUNTIFS(RawData[Date],$A32,RawData[Slot],37))</f>
        <v/>
      </c>
      <c r="AO32" s="4" t="str">
        <f>IF($A32="","",COUNTIFS(RawData[Date],$A32,RawData[Slot],38))</f>
        <v/>
      </c>
      <c r="AP32" s="4" t="str">
        <f>IF($A32="","",COUNTIFS(RawData[Date],$A32,RawData[Slot],39))</f>
        <v/>
      </c>
      <c r="AQ32" s="4" t="str">
        <f>IF($A32="","",COUNTIFS(RawData[Date],$A32,RawData[Slot],40))</f>
        <v/>
      </c>
      <c r="AR32" s="4" t="str">
        <f>IF($A32="","",COUNTIFS(RawData[Date],$A32,RawData[Slot],41))</f>
        <v/>
      </c>
      <c r="AS32" s="4" t="str">
        <f>IF($A32="","",COUNTIFS(RawData[Date],$A32,RawData[Slot],42))</f>
        <v/>
      </c>
      <c r="AT32" s="4" t="str">
        <f>IF($A32="","",COUNTIFS(RawData[Date],$A32,RawData[Slot],43))</f>
        <v/>
      </c>
      <c r="AU32" s="4" t="str">
        <f>IF($A32="","",COUNTIFS(RawData[Date],$A32,RawData[Slot],44))</f>
        <v/>
      </c>
      <c r="AV32" s="4" t="str">
        <f>IF($A32="","",COUNTIFS(RawData[Date],$A32,RawData[Slot],45))</f>
        <v/>
      </c>
      <c r="AW32" s="4" t="str">
        <f>IF($A32="","",COUNTIFS(RawData[Date],$A32,RawData[Slot],46))</f>
        <v/>
      </c>
      <c r="AX32" s="4" t="str">
        <f>IF($A32="","",COUNTIFS(RawData[Date],$A32,RawData[Slot],47))</f>
        <v/>
      </c>
      <c r="AY32" s="4" t="str">
        <f t="shared" si="1"/>
        <v/>
      </c>
    </row>
    <row r="33" spans="1:51" x14ac:dyDescent="0.25">
      <c r="A33" s="7"/>
      <c r="B33" s="4" t="str">
        <f t="shared" si="0"/>
        <v/>
      </c>
      <c r="C33" s="4" t="str">
        <f>IF($A33="","",COUNTIFS(RawData[Date],$A33,RawData[Slot],0))</f>
        <v/>
      </c>
      <c r="D33" s="4" t="str">
        <f>IF($A33="","",COUNTIFS(RawData[Date],$A33,RawData[Slot],1))</f>
        <v/>
      </c>
      <c r="E33" s="4" t="str">
        <f>IF($A33="","",COUNTIFS(RawData[Date],$A33,RawData[Slot],2))</f>
        <v/>
      </c>
      <c r="F33" s="4" t="str">
        <f>IF($A33="","",COUNTIFS(RawData[Date],$A33,RawData[Slot],3))</f>
        <v/>
      </c>
      <c r="G33" s="4" t="str">
        <f>IF($A33="","",COUNTIFS(RawData[Date],$A33,RawData[Slot],4))</f>
        <v/>
      </c>
      <c r="H33" s="4" t="str">
        <f>IF($A33="","",COUNTIFS(RawData[Date],$A33,RawData[Slot],5))</f>
        <v/>
      </c>
      <c r="I33" s="4" t="str">
        <f>IF($A33="","",COUNTIFS(RawData[Date],$A33,RawData[Slot],6))</f>
        <v/>
      </c>
      <c r="J33" s="4" t="str">
        <f>IF($A33="","",COUNTIFS(RawData[Date],$A33,RawData[Slot],7))</f>
        <v/>
      </c>
      <c r="K33" s="4" t="str">
        <f>IF($A33="","",COUNTIFS(RawData[Date],$A33,RawData[Slot],8))</f>
        <v/>
      </c>
      <c r="L33" s="4" t="str">
        <f>IF($A33="","",COUNTIFS(RawData[Date],$A33,RawData[Slot],9))</f>
        <v/>
      </c>
      <c r="M33" s="4" t="str">
        <f>IF($A33="","",COUNTIFS(RawData[Date],$A33,RawData[Slot],10))</f>
        <v/>
      </c>
      <c r="N33" s="4" t="str">
        <f>IF($A33="","",COUNTIFS(RawData[Date],$A33,RawData[Slot],11))</f>
        <v/>
      </c>
      <c r="O33" s="4" t="str">
        <f>IF($A33="","",COUNTIFS(RawData[Date],$A33,RawData[Slot],12))</f>
        <v/>
      </c>
      <c r="P33" s="4" t="str">
        <f>IF($A33="","",COUNTIFS(RawData[Date],$A33,RawData[Slot],13))</f>
        <v/>
      </c>
      <c r="Q33" s="4" t="str">
        <f>IF($A33="","",COUNTIFS(RawData[Date],$A33,RawData[Slot],14))</f>
        <v/>
      </c>
      <c r="R33" s="4" t="str">
        <f>IF($A33="","",COUNTIFS(RawData[Date],$A33,RawData[Slot],15))</f>
        <v/>
      </c>
      <c r="S33" s="4" t="str">
        <f>IF($A33="","",COUNTIFS(RawData[Date],$A33,RawData[Slot],16))</f>
        <v/>
      </c>
      <c r="T33" s="4" t="str">
        <f>IF($A33="","",COUNTIFS(RawData[Date],$A33,RawData[Slot],17))</f>
        <v/>
      </c>
      <c r="U33" s="4" t="str">
        <f>IF($A33="","",COUNTIFS(RawData[Date],$A33,RawData[Slot],18))</f>
        <v/>
      </c>
      <c r="V33" s="4" t="str">
        <f>IF($A33="","",COUNTIFS(RawData[Date],$A33,RawData[Slot],19))</f>
        <v/>
      </c>
      <c r="W33" s="4" t="str">
        <f>IF($A33="","",COUNTIFS(RawData[Date],$A33,RawData[Slot],20))</f>
        <v/>
      </c>
      <c r="X33" s="4" t="str">
        <f>IF($A33="","",COUNTIFS(RawData[Date],$A33,RawData[Slot],21))</f>
        <v/>
      </c>
      <c r="Y33" s="4" t="str">
        <f>IF($A33="","",COUNTIFS(RawData[Date],$A33,RawData[Slot],22))</f>
        <v/>
      </c>
      <c r="Z33" s="4" t="str">
        <f>IF($A33="","",COUNTIFS(RawData[Date],$A33,RawData[Slot],23))</f>
        <v/>
      </c>
      <c r="AA33" s="4" t="str">
        <f>IF($A33="","",COUNTIFS(RawData[Date],$A33,RawData[Slot],24))</f>
        <v/>
      </c>
      <c r="AB33" s="4" t="str">
        <f>IF($A33="","",COUNTIFS(RawData[Date],$A33,RawData[Slot],25))</f>
        <v/>
      </c>
      <c r="AC33" s="4" t="str">
        <f>IF($A33="","",COUNTIFS(RawData[Date],$A33,RawData[Slot],26))</f>
        <v/>
      </c>
      <c r="AD33" s="4" t="str">
        <f>IF($A33="","",COUNTIFS(RawData[Date],$A33,RawData[Slot],27))</f>
        <v/>
      </c>
      <c r="AE33" s="4" t="str">
        <f>IF($A33="","",COUNTIFS(RawData[Date],$A33,RawData[Slot],28))</f>
        <v/>
      </c>
      <c r="AF33" s="4" t="str">
        <f>IF($A33="","",COUNTIFS(RawData[Date],$A33,RawData[Slot],29))</f>
        <v/>
      </c>
      <c r="AG33" s="4" t="str">
        <f>IF($A33="","",COUNTIFS(RawData[Date],$A33,RawData[Slot],30))</f>
        <v/>
      </c>
      <c r="AH33" s="4" t="str">
        <f>IF($A33="","",COUNTIFS(RawData[Date],$A33,RawData[Slot],31))</f>
        <v/>
      </c>
      <c r="AI33" s="4" t="str">
        <f>IF($A33="","",COUNTIFS(RawData[Date],$A33,RawData[Slot],32))</f>
        <v/>
      </c>
      <c r="AJ33" s="4" t="str">
        <f>IF($A33="","",COUNTIFS(RawData[Date],$A33,RawData[Slot],33))</f>
        <v/>
      </c>
      <c r="AK33" s="4" t="str">
        <f>IF($A33="","",COUNTIFS(RawData[Date],$A33,RawData[Slot],34))</f>
        <v/>
      </c>
      <c r="AL33" s="4" t="str">
        <f>IF($A33="","",COUNTIFS(RawData[Date],$A33,RawData[Slot],35))</f>
        <v/>
      </c>
      <c r="AM33" s="4" t="str">
        <f>IF($A33="","",COUNTIFS(RawData[Date],$A33,RawData[Slot],36))</f>
        <v/>
      </c>
      <c r="AN33" s="4" t="str">
        <f>IF($A33="","",COUNTIFS(RawData[Date],$A33,RawData[Slot],37))</f>
        <v/>
      </c>
      <c r="AO33" s="4" t="str">
        <f>IF($A33="","",COUNTIFS(RawData[Date],$A33,RawData[Slot],38))</f>
        <v/>
      </c>
      <c r="AP33" s="4" t="str">
        <f>IF($A33="","",COUNTIFS(RawData[Date],$A33,RawData[Slot],39))</f>
        <v/>
      </c>
      <c r="AQ33" s="4" t="str">
        <f>IF($A33="","",COUNTIFS(RawData[Date],$A33,RawData[Slot],40))</f>
        <v/>
      </c>
      <c r="AR33" s="4" t="str">
        <f>IF($A33="","",COUNTIFS(RawData[Date],$A33,RawData[Slot],41))</f>
        <v/>
      </c>
      <c r="AS33" s="4" t="str">
        <f>IF($A33="","",COUNTIFS(RawData[Date],$A33,RawData[Slot],42))</f>
        <v/>
      </c>
      <c r="AT33" s="4" t="str">
        <f>IF($A33="","",COUNTIFS(RawData[Date],$A33,RawData[Slot],43))</f>
        <v/>
      </c>
      <c r="AU33" s="4" t="str">
        <f>IF($A33="","",COUNTIFS(RawData[Date],$A33,RawData[Slot],44))</f>
        <v/>
      </c>
      <c r="AV33" s="4" t="str">
        <f>IF($A33="","",COUNTIFS(RawData[Date],$A33,RawData[Slot],45))</f>
        <v/>
      </c>
      <c r="AW33" s="4" t="str">
        <f>IF($A33="","",COUNTIFS(RawData[Date],$A33,RawData[Slot],46))</f>
        <v/>
      </c>
      <c r="AX33" s="4" t="str">
        <f>IF($A33="","",COUNTIFS(RawData[Date],$A33,RawData[Slot],47))</f>
        <v/>
      </c>
      <c r="AY33" s="4" t="str">
        <f t="shared" si="1"/>
        <v/>
      </c>
    </row>
    <row r="34" spans="1:51" x14ac:dyDescent="0.25">
      <c r="A34" s="7"/>
      <c r="B34" s="4" t="str">
        <f t="shared" si="0"/>
        <v/>
      </c>
      <c r="C34" s="4" t="str">
        <f>IF($A34="","",COUNTIFS(RawData[Date],$A34,RawData[Slot],0))</f>
        <v/>
      </c>
      <c r="D34" s="4" t="str">
        <f>IF($A34="","",COUNTIFS(RawData[Date],$A34,RawData[Slot],1))</f>
        <v/>
      </c>
      <c r="E34" s="4" t="str">
        <f>IF($A34="","",COUNTIFS(RawData[Date],$A34,RawData[Slot],2))</f>
        <v/>
      </c>
      <c r="F34" s="4" t="str">
        <f>IF($A34="","",COUNTIFS(RawData[Date],$A34,RawData[Slot],3))</f>
        <v/>
      </c>
      <c r="G34" s="4" t="str">
        <f>IF($A34="","",COUNTIFS(RawData[Date],$A34,RawData[Slot],4))</f>
        <v/>
      </c>
      <c r="H34" s="4" t="str">
        <f>IF($A34="","",COUNTIFS(RawData[Date],$A34,RawData[Slot],5))</f>
        <v/>
      </c>
      <c r="I34" s="4" t="str">
        <f>IF($A34="","",COUNTIFS(RawData[Date],$A34,RawData[Slot],6))</f>
        <v/>
      </c>
      <c r="J34" s="4" t="str">
        <f>IF($A34="","",COUNTIFS(RawData[Date],$A34,RawData[Slot],7))</f>
        <v/>
      </c>
      <c r="K34" s="4" t="str">
        <f>IF($A34="","",COUNTIFS(RawData[Date],$A34,RawData[Slot],8))</f>
        <v/>
      </c>
      <c r="L34" s="4" t="str">
        <f>IF($A34="","",COUNTIFS(RawData[Date],$A34,RawData[Slot],9))</f>
        <v/>
      </c>
      <c r="M34" s="4" t="str">
        <f>IF($A34="","",COUNTIFS(RawData[Date],$A34,RawData[Slot],10))</f>
        <v/>
      </c>
      <c r="N34" s="4" t="str">
        <f>IF($A34="","",COUNTIFS(RawData[Date],$A34,RawData[Slot],11))</f>
        <v/>
      </c>
      <c r="O34" s="4" t="str">
        <f>IF($A34="","",COUNTIFS(RawData[Date],$A34,RawData[Slot],12))</f>
        <v/>
      </c>
      <c r="P34" s="4" t="str">
        <f>IF($A34="","",COUNTIFS(RawData[Date],$A34,RawData[Slot],13))</f>
        <v/>
      </c>
      <c r="Q34" s="4" t="str">
        <f>IF($A34="","",COUNTIFS(RawData[Date],$A34,RawData[Slot],14))</f>
        <v/>
      </c>
      <c r="R34" s="4" t="str">
        <f>IF($A34="","",COUNTIFS(RawData[Date],$A34,RawData[Slot],15))</f>
        <v/>
      </c>
      <c r="S34" s="4" t="str">
        <f>IF($A34="","",COUNTIFS(RawData[Date],$A34,RawData[Slot],16))</f>
        <v/>
      </c>
      <c r="T34" s="4" t="str">
        <f>IF($A34="","",COUNTIFS(RawData[Date],$A34,RawData[Slot],17))</f>
        <v/>
      </c>
      <c r="U34" s="4" t="str">
        <f>IF($A34="","",COUNTIFS(RawData[Date],$A34,RawData[Slot],18))</f>
        <v/>
      </c>
      <c r="V34" s="4" t="str">
        <f>IF($A34="","",COUNTIFS(RawData[Date],$A34,RawData[Slot],19))</f>
        <v/>
      </c>
      <c r="W34" s="4" t="str">
        <f>IF($A34="","",COUNTIFS(RawData[Date],$A34,RawData[Slot],20))</f>
        <v/>
      </c>
      <c r="X34" s="4" t="str">
        <f>IF($A34="","",COUNTIFS(RawData[Date],$A34,RawData[Slot],21))</f>
        <v/>
      </c>
      <c r="Y34" s="4" t="str">
        <f>IF($A34="","",COUNTIFS(RawData[Date],$A34,RawData[Slot],22))</f>
        <v/>
      </c>
      <c r="Z34" s="4" t="str">
        <f>IF($A34="","",COUNTIFS(RawData[Date],$A34,RawData[Slot],23))</f>
        <v/>
      </c>
      <c r="AA34" s="4" t="str">
        <f>IF($A34="","",COUNTIFS(RawData[Date],$A34,RawData[Slot],24))</f>
        <v/>
      </c>
      <c r="AB34" s="4" t="str">
        <f>IF($A34="","",COUNTIFS(RawData[Date],$A34,RawData[Slot],25))</f>
        <v/>
      </c>
      <c r="AC34" s="4" t="str">
        <f>IF($A34="","",COUNTIFS(RawData[Date],$A34,RawData[Slot],26))</f>
        <v/>
      </c>
      <c r="AD34" s="4" t="str">
        <f>IF($A34="","",COUNTIFS(RawData[Date],$A34,RawData[Slot],27))</f>
        <v/>
      </c>
      <c r="AE34" s="4" t="str">
        <f>IF($A34="","",COUNTIFS(RawData[Date],$A34,RawData[Slot],28))</f>
        <v/>
      </c>
      <c r="AF34" s="4" t="str">
        <f>IF($A34="","",COUNTIFS(RawData[Date],$A34,RawData[Slot],29))</f>
        <v/>
      </c>
      <c r="AG34" s="4" t="str">
        <f>IF($A34="","",COUNTIFS(RawData[Date],$A34,RawData[Slot],30))</f>
        <v/>
      </c>
      <c r="AH34" s="4" t="str">
        <f>IF($A34="","",COUNTIFS(RawData[Date],$A34,RawData[Slot],31))</f>
        <v/>
      </c>
      <c r="AI34" s="4" t="str">
        <f>IF($A34="","",COUNTIFS(RawData[Date],$A34,RawData[Slot],32))</f>
        <v/>
      </c>
      <c r="AJ34" s="4" t="str">
        <f>IF($A34="","",COUNTIFS(RawData[Date],$A34,RawData[Slot],33))</f>
        <v/>
      </c>
      <c r="AK34" s="4" t="str">
        <f>IF($A34="","",COUNTIFS(RawData[Date],$A34,RawData[Slot],34))</f>
        <v/>
      </c>
      <c r="AL34" s="4" t="str">
        <f>IF($A34="","",COUNTIFS(RawData[Date],$A34,RawData[Slot],35))</f>
        <v/>
      </c>
      <c r="AM34" s="4" t="str">
        <f>IF($A34="","",COUNTIFS(RawData[Date],$A34,RawData[Slot],36))</f>
        <v/>
      </c>
      <c r="AN34" s="4" t="str">
        <f>IF($A34="","",COUNTIFS(RawData[Date],$A34,RawData[Slot],37))</f>
        <v/>
      </c>
      <c r="AO34" s="4" t="str">
        <f>IF($A34="","",COUNTIFS(RawData[Date],$A34,RawData[Slot],38))</f>
        <v/>
      </c>
      <c r="AP34" s="4" t="str">
        <f>IF($A34="","",COUNTIFS(RawData[Date],$A34,RawData[Slot],39))</f>
        <v/>
      </c>
      <c r="AQ34" s="4" t="str">
        <f>IF($A34="","",COUNTIFS(RawData[Date],$A34,RawData[Slot],40))</f>
        <v/>
      </c>
      <c r="AR34" s="4" t="str">
        <f>IF($A34="","",COUNTIFS(RawData[Date],$A34,RawData[Slot],41))</f>
        <v/>
      </c>
      <c r="AS34" s="4" t="str">
        <f>IF($A34="","",COUNTIFS(RawData[Date],$A34,RawData[Slot],42))</f>
        <v/>
      </c>
      <c r="AT34" s="4" t="str">
        <f>IF($A34="","",COUNTIFS(RawData[Date],$A34,RawData[Slot],43))</f>
        <v/>
      </c>
      <c r="AU34" s="4" t="str">
        <f>IF($A34="","",COUNTIFS(RawData[Date],$A34,RawData[Slot],44))</f>
        <v/>
      </c>
      <c r="AV34" s="4" t="str">
        <f>IF($A34="","",COUNTIFS(RawData[Date],$A34,RawData[Slot],45))</f>
        <v/>
      </c>
      <c r="AW34" s="4" t="str">
        <f>IF($A34="","",COUNTIFS(RawData[Date],$A34,RawData[Slot],46))</f>
        <v/>
      </c>
      <c r="AX34" s="4" t="str">
        <f>IF($A34="","",COUNTIFS(RawData[Date],$A34,RawData[Slot],47))</f>
        <v/>
      </c>
      <c r="AY34" s="4" t="str">
        <f t="shared" si="1"/>
        <v/>
      </c>
    </row>
    <row r="35" spans="1:51" x14ac:dyDescent="0.25">
      <c r="A35" s="7"/>
      <c r="B35" s="4" t="str">
        <f t="shared" si="0"/>
        <v/>
      </c>
      <c r="C35" s="4" t="str">
        <f>IF($A35="","",COUNTIFS(RawData[Date],$A35,RawData[Slot],0))</f>
        <v/>
      </c>
      <c r="D35" s="4" t="str">
        <f>IF($A35="","",COUNTIFS(RawData[Date],$A35,RawData[Slot],1))</f>
        <v/>
      </c>
      <c r="E35" s="4" t="str">
        <f>IF($A35="","",COUNTIFS(RawData[Date],$A35,RawData[Slot],2))</f>
        <v/>
      </c>
      <c r="F35" s="4" t="str">
        <f>IF($A35="","",COUNTIFS(RawData[Date],$A35,RawData[Slot],3))</f>
        <v/>
      </c>
      <c r="G35" s="4" t="str">
        <f>IF($A35="","",COUNTIFS(RawData[Date],$A35,RawData[Slot],4))</f>
        <v/>
      </c>
      <c r="H35" s="4" t="str">
        <f>IF($A35="","",COUNTIFS(RawData[Date],$A35,RawData[Slot],5))</f>
        <v/>
      </c>
      <c r="I35" s="4" t="str">
        <f>IF($A35="","",COUNTIFS(RawData[Date],$A35,RawData[Slot],6))</f>
        <v/>
      </c>
      <c r="J35" s="4" t="str">
        <f>IF($A35="","",COUNTIFS(RawData[Date],$A35,RawData[Slot],7))</f>
        <v/>
      </c>
      <c r="K35" s="4" t="str">
        <f>IF($A35="","",COUNTIFS(RawData[Date],$A35,RawData[Slot],8))</f>
        <v/>
      </c>
      <c r="L35" s="4" t="str">
        <f>IF($A35="","",COUNTIFS(RawData[Date],$A35,RawData[Slot],9))</f>
        <v/>
      </c>
      <c r="M35" s="4" t="str">
        <f>IF($A35="","",COUNTIFS(RawData[Date],$A35,RawData[Slot],10))</f>
        <v/>
      </c>
      <c r="N35" s="4" t="str">
        <f>IF($A35="","",COUNTIFS(RawData[Date],$A35,RawData[Slot],11))</f>
        <v/>
      </c>
      <c r="O35" s="4" t="str">
        <f>IF($A35="","",COUNTIFS(RawData[Date],$A35,RawData[Slot],12))</f>
        <v/>
      </c>
      <c r="P35" s="4" t="str">
        <f>IF($A35="","",COUNTIFS(RawData[Date],$A35,RawData[Slot],13))</f>
        <v/>
      </c>
      <c r="Q35" s="4" t="str">
        <f>IF($A35="","",COUNTIFS(RawData[Date],$A35,RawData[Slot],14))</f>
        <v/>
      </c>
      <c r="R35" s="4" t="str">
        <f>IF($A35="","",COUNTIFS(RawData[Date],$A35,RawData[Slot],15))</f>
        <v/>
      </c>
      <c r="S35" s="4" t="str">
        <f>IF($A35="","",COUNTIFS(RawData[Date],$A35,RawData[Slot],16))</f>
        <v/>
      </c>
      <c r="T35" s="4" t="str">
        <f>IF($A35="","",COUNTIFS(RawData[Date],$A35,RawData[Slot],17))</f>
        <v/>
      </c>
      <c r="U35" s="4" t="str">
        <f>IF($A35="","",COUNTIFS(RawData[Date],$A35,RawData[Slot],18))</f>
        <v/>
      </c>
      <c r="V35" s="4" t="str">
        <f>IF($A35="","",COUNTIFS(RawData[Date],$A35,RawData[Slot],19))</f>
        <v/>
      </c>
      <c r="W35" s="4" t="str">
        <f>IF($A35="","",COUNTIFS(RawData[Date],$A35,RawData[Slot],20))</f>
        <v/>
      </c>
      <c r="X35" s="4" t="str">
        <f>IF($A35="","",COUNTIFS(RawData[Date],$A35,RawData[Slot],21))</f>
        <v/>
      </c>
      <c r="Y35" s="4" t="str">
        <f>IF($A35="","",COUNTIFS(RawData[Date],$A35,RawData[Slot],22))</f>
        <v/>
      </c>
      <c r="Z35" s="4" t="str">
        <f>IF($A35="","",COUNTIFS(RawData[Date],$A35,RawData[Slot],23))</f>
        <v/>
      </c>
      <c r="AA35" s="4" t="str">
        <f>IF($A35="","",COUNTIFS(RawData[Date],$A35,RawData[Slot],24))</f>
        <v/>
      </c>
      <c r="AB35" s="4" t="str">
        <f>IF($A35="","",COUNTIFS(RawData[Date],$A35,RawData[Slot],25))</f>
        <v/>
      </c>
      <c r="AC35" s="4" t="str">
        <f>IF($A35="","",COUNTIFS(RawData[Date],$A35,RawData[Slot],26))</f>
        <v/>
      </c>
      <c r="AD35" s="4" t="str">
        <f>IF($A35="","",COUNTIFS(RawData[Date],$A35,RawData[Slot],27))</f>
        <v/>
      </c>
      <c r="AE35" s="4" t="str">
        <f>IF($A35="","",COUNTIFS(RawData[Date],$A35,RawData[Slot],28))</f>
        <v/>
      </c>
      <c r="AF35" s="4" t="str">
        <f>IF($A35="","",COUNTIFS(RawData[Date],$A35,RawData[Slot],29))</f>
        <v/>
      </c>
      <c r="AG35" s="4" t="str">
        <f>IF($A35="","",COUNTIFS(RawData[Date],$A35,RawData[Slot],30))</f>
        <v/>
      </c>
      <c r="AH35" s="4" t="str">
        <f>IF($A35="","",COUNTIFS(RawData[Date],$A35,RawData[Slot],31))</f>
        <v/>
      </c>
      <c r="AI35" s="4" t="str">
        <f>IF($A35="","",COUNTIFS(RawData[Date],$A35,RawData[Slot],32))</f>
        <v/>
      </c>
      <c r="AJ35" s="4" t="str">
        <f>IF($A35="","",COUNTIFS(RawData[Date],$A35,RawData[Slot],33))</f>
        <v/>
      </c>
      <c r="AK35" s="4" t="str">
        <f>IF($A35="","",COUNTIFS(RawData[Date],$A35,RawData[Slot],34))</f>
        <v/>
      </c>
      <c r="AL35" s="4" t="str">
        <f>IF($A35="","",COUNTIFS(RawData[Date],$A35,RawData[Slot],35))</f>
        <v/>
      </c>
      <c r="AM35" s="4" t="str">
        <f>IF($A35="","",COUNTIFS(RawData[Date],$A35,RawData[Slot],36))</f>
        <v/>
      </c>
      <c r="AN35" s="4" t="str">
        <f>IF($A35="","",COUNTIFS(RawData[Date],$A35,RawData[Slot],37))</f>
        <v/>
      </c>
      <c r="AO35" s="4" t="str">
        <f>IF($A35="","",COUNTIFS(RawData[Date],$A35,RawData[Slot],38))</f>
        <v/>
      </c>
      <c r="AP35" s="4" t="str">
        <f>IF($A35="","",COUNTIFS(RawData[Date],$A35,RawData[Slot],39))</f>
        <v/>
      </c>
      <c r="AQ35" s="4" t="str">
        <f>IF($A35="","",COUNTIFS(RawData[Date],$A35,RawData[Slot],40))</f>
        <v/>
      </c>
      <c r="AR35" s="4" t="str">
        <f>IF($A35="","",COUNTIFS(RawData[Date],$A35,RawData[Slot],41))</f>
        <v/>
      </c>
      <c r="AS35" s="4" t="str">
        <f>IF($A35="","",COUNTIFS(RawData[Date],$A35,RawData[Slot],42))</f>
        <v/>
      </c>
      <c r="AT35" s="4" t="str">
        <f>IF($A35="","",COUNTIFS(RawData[Date],$A35,RawData[Slot],43))</f>
        <v/>
      </c>
      <c r="AU35" s="4" t="str">
        <f>IF($A35="","",COUNTIFS(RawData[Date],$A35,RawData[Slot],44))</f>
        <v/>
      </c>
      <c r="AV35" s="4" t="str">
        <f>IF($A35="","",COUNTIFS(RawData[Date],$A35,RawData[Slot],45))</f>
        <v/>
      </c>
      <c r="AW35" s="4" t="str">
        <f>IF($A35="","",COUNTIFS(RawData[Date],$A35,RawData[Slot],46))</f>
        <v/>
      </c>
      <c r="AX35" s="4" t="str">
        <f>IF($A35="","",COUNTIFS(RawData[Date],$A35,RawData[Slot],47))</f>
        <v/>
      </c>
      <c r="AY35" s="4" t="str">
        <f t="shared" si="1"/>
        <v/>
      </c>
    </row>
    <row r="36" spans="1:51" x14ac:dyDescent="0.25">
      <c r="A36" s="7"/>
      <c r="B36" s="4" t="str">
        <f t="shared" si="0"/>
        <v/>
      </c>
      <c r="C36" s="4" t="str">
        <f>IF($A36="","",COUNTIFS(RawData[Date],$A36,RawData[Slot],0))</f>
        <v/>
      </c>
      <c r="D36" s="4" t="str">
        <f>IF($A36="","",COUNTIFS(RawData[Date],$A36,RawData[Slot],1))</f>
        <v/>
      </c>
      <c r="E36" s="4" t="str">
        <f>IF($A36="","",COUNTIFS(RawData[Date],$A36,RawData[Slot],2))</f>
        <v/>
      </c>
      <c r="F36" s="4" t="str">
        <f>IF($A36="","",COUNTIFS(RawData[Date],$A36,RawData[Slot],3))</f>
        <v/>
      </c>
      <c r="G36" s="4" t="str">
        <f>IF($A36="","",COUNTIFS(RawData[Date],$A36,RawData[Slot],4))</f>
        <v/>
      </c>
      <c r="H36" s="4" t="str">
        <f>IF($A36="","",COUNTIFS(RawData[Date],$A36,RawData[Slot],5))</f>
        <v/>
      </c>
      <c r="I36" s="4" t="str">
        <f>IF($A36="","",COUNTIFS(RawData[Date],$A36,RawData[Slot],6))</f>
        <v/>
      </c>
      <c r="J36" s="4" t="str">
        <f>IF($A36="","",COUNTIFS(RawData[Date],$A36,RawData[Slot],7))</f>
        <v/>
      </c>
      <c r="K36" s="4" t="str">
        <f>IF($A36="","",COUNTIFS(RawData[Date],$A36,RawData[Slot],8))</f>
        <v/>
      </c>
      <c r="L36" s="4" t="str">
        <f>IF($A36="","",COUNTIFS(RawData[Date],$A36,RawData[Slot],9))</f>
        <v/>
      </c>
      <c r="M36" s="4" t="str">
        <f>IF($A36="","",COUNTIFS(RawData[Date],$A36,RawData[Slot],10))</f>
        <v/>
      </c>
      <c r="N36" s="4" t="str">
        <f>IF($A36="","",COUNTIFS(RawData[Date],$A36,RawData[Slot],11))</f>
        <v/>
      </c>
      <c r="O36" s="4" t="str">
        <f>IF($A36="","",COUNTIFS(RawData[Date],$A36,RawData[Slot],12))</f>
        <v/>
      </c>
      <c r="P36" s="4" t="str">
        <f>IF($A36="","",COUNTIFS(RawData[Date],$A36,RawData[Slot],13))</f>
        <v/>
      </c>
      <c r="Q36" s="4" t="str">
        <f>IF($A36="","",COUNTIFS(RawData[Date],$A36,RawData[Slot],14))</f>
        <v/>
      </c>
      <c r="R36" s="4" t="str">
        <f>IF($A36="","",COUNTIFS(RawData[Date],$A36,RawData[Slot],15))</f>
        <v/>
      </c>
      <c r="S36" s="4" t="str">
        <f>IF($A36="","",COUNTIFS(RawData[Date],$A36,RawData[Slot],16))</f>
        <v/>
      </c>
      <c r="T36" s="4" t="str">
        <f>IF($A36="","",COUNTIFS(RawData[Date],$A36,RawData[Slot],17))</f>
        <v/>
      </c>
      <c r="U36" s="4" t="str">
        <f>IF($A36="","",COUNTIFS(RawData[Date],$A36,RawData[Slot],18))</f>
        <v/>
      </c>
      <c r="V36" s="4" t="str">
        <f>IF($A36="","",COUNTIFS(RawData[Date],$A36,RawData[Slot],19))</f>
        <v/>
      </c>
      <c r="W36" s="4" t="str">
        <f>IF($A36="","",COUNTIFS(RawData[Date],$A36,RawData[Slot],20))</f>
        <v/>
      </c>
      <c r="X36" s="4" t="str">
        <f>IF($A36="","",COUNTIFS(RawData[Date],$A36,RawData[Slot],21))</f>
        <v/>
      </c>
      <c r="Y36" s="4" t="str">
        <f>IF($A36="","",COUNTIFS(RawData[Date],$A36,RawData[Slot],22))</f>
        <v/>
      </c>
      <c r="Z36" s="4" t="str">
        <f>IF($A36="","",COUNTIFS(RawData[Date],$A36,RawData[Slot],23))</f>
        <v/>
      </c>
      <c r="AA36" s="4" t="str">
        <f>IF($A36="","",COUNTIFS(RawData[Date],$A36,RawData[Slot],24))</f>
        <v/>
      </c>
      <c r="AB36" s="4" t="str">
        <f>IF($A36="","",COUNTIFS(RawData[Date],$A36,RawData[Slot],25))</f>
        <v/>
      </c>
      <c r="AC36" s="4" t="str">
        <f>IF($A36="","",COUNTIFS(RawData[Date],$A36,RawData[Slot],26))</f>
        <v/>
      </c>
      <c r="AD36" s="4" t="str">
        <f>IF($A36="","",COUNTIFS(RawData[Date],$A36,RawData[Slot],27))</f>
        <v/>
      </c>
      <c r="AE36" s="4" t="str">
        <f>IF($A36="","",COUNTIFS(RawData[Date],$A36,RawData[Slot],28))</f>
        <v/>
      </c>
      <c r="AF36" s="4" t="str">
        <f>IF($A36="","",COUNTIFS(RawData[Date],$A36,RawData[Slot],29))</f>
        <v/>
      </c>
      <c r="AG36" s="4" t="str">
        <f>IF($A36="","",COUNTIFS(RawData[Date],$A36,RawData[Slot],30))</f>
        <v/>
      </c>
      <c r="AH36" s="4" t="str">
        <f>IF($A36="","",COUNTIFS(RawData[Date],$A36,RawData[Slot],31))</f>
        <v/>
      </c>
      <c r="AI36" s="4" t="str">
        <f>IF($A36="","",COUNTIFS(RawData[Date],$A36,RawData[Slot],32))</f>
        <v/>
      </c>
      <c r="AJ36" s="4" t="str">
        <f>IF($A36="","",COUNTIFS(RawData[Date],$A36,RawData[Slot],33))</f>
        <v/>
      </c>
      <c r="AK36" s="4" t="str">
        <f>IF($A36="","",COUNTIFS(RawData[Date],$A36,RawData[Slot],34))</f>
        <v/>
      </c>
      <c r="AL36" s="4" t="str">
        <f>IF($A36="","",COUNTIFS(RawData[Date],$A36,RawData[Slot],35))</f>
        <v/>
      </c>
      <c r="AM36" s="4" t="str">
        <f>IF($A36="","",COUNTIFS(RawData[Date],$A36,RawData[Slot],36))</f>
        <v/>
      </c>
      <c r="AN36" s="4" t="str">
        <f>IF($A36="","",COUNTIFS(RawData[Date],$A36,RawData[Slot],37))</f>
        <v/>
      </c>
      <c r="AO36" s="4" t="str">
        <f>IF($A36="","",COUNTIFS(RawData[Date],$A36,RawData[Slot],38))</f>
        <v/>
      </c>
      <c r="AP36" s="4" t="str">
        <f>IF($A36="","",COUNTIFS(RawData[Date],$A36,RawData[Slot],39))</f>
        <v/>
      </c>
      <c r="AQ36" s="4" t="str">
        <f>IF($A36="","",COUNTIFS(RawData[Date],$A36,RawData[Slot],40))</f>
        <v/>
      </c>
      <c r="AR36" s="4" t="str">
        <f>IF($A36="","",COUNTIFS(RawData[Date],$A36,RawData[Slot],41))</f>
        <v/>
      </c>
      <c r="AS36" s="4" t="str">
        <f>IF($A36="","",COUNTIFS(RawData[Date],$A36,RawData[Slot],42))</f>
        <v/>
      </c>
      <c r="AT36" s="4" t="str">
        <f>IF($A36="","",COUNTIFS(RawData[Date],$A36,RawData[Slot],43))</f>
        <v/>
      </c>
      <c r="AU36" s="4" t="str">
        <f>IF($A36="","",COUNTIFS(RawData[Date],$A36,RawData[Slot],44))</f>
        <v/>
      </c>
      <c r="AV36" s="4" t="str">
        <f>IF($A36="","",COUNTIFS(RawData[Date],$A36,RawData[Slot],45))</f>
        <v/>
      </c>
      <c r="AW36" s="4" t="str">
        <f>IF($A36="","",COUNTIFS(RawData[Date],$A36,RawData[Slot],46))</f>
        <v/>
      </c>
      <c r="AX36" s="4" t="str">
        <f>IF($A36="","",COUNTIFS(RawData[Date],$A36,RawData[Slot],47))</f>
        <v/>
      </c>
      <c r="AY36" s="4" t="str">
        <f t="shared" si="1"/>
        <v/>
      </c>
    </row>
    <row r="37" spans="1:51" x14ac:dyDescent="0.25">
      <c r="A37" s="7"/>
      <c r="B37" s="4" t="str">
        <f t="shared" ref="B37:B68" si="2">IF(A37="","",CHOOSE(WEEKDAY(A37,2),"Monday","Tuesday","Wednesday","Thursday","Friday","Saturday","Sunday"))</f>
        <v/>
      </c>
      <c r="C37" s="4" t="str">
        <f>IF($A37="","",COUNTIFS(RawData[Date],$A37,RawData[Slot],0))</f>
        <v/>
      </c>
      <c r="D37" s="4" t="str">
        <f>IF($A37="","",COUNTIFS(RawData[Date],$A37,RawData[Slot],1))</f>
        <v/>
      </c>
      <c r="E37" s="4" t="str">
        <f>IF($A37="","",COUNTIFS(RawData[Date],$A37,RawData[Slot],2))</f>
        <v/>
      </c>
      <c r="F37" s="4" t="str">
        <f>IF($A37="","",COUNTIFS(RawData[Date],$A37,RawData[Slot],3))</f>
        <v/>
      </c>
      <c r="G37" s="4" t="str">
        <f>IF($A37="","",COUNTIFS(RawData[Date],$A37,RawData[Slot],4))</f>
        <v/>
      </c>
      <c r="H37" s="4" t="str">
        <f>IF($A37="","",COUNTIFS(RawData[Date],$A37,RawData[Slot],5))</f>
        <v/>
      </c>
      <c r="I37" s="4" t="str">
        <f>IF($A37="","",COUNTIFS(RawData[Date],$A37,RawData[Slot],6))</f>
        <v/>
      </c>
      <c r="J37" s="4" t="str">
        <f>IF($A37="","",COUNTIFS(RawData[Date],$A37,RawData[Slot],7))</f>
        <v/>
      </c>
      <c r="K37" s="4" t="str">
        <f>IF($A37="","",COUNTIFS(RawData[Date],$A37,RawData[Slot],8))</f>
        <v/>
      </c>
      <c r="L37" s="4" t="str">
        <f>IF($A37="","",COUNTIFS(RawData[Date],$A37,RawData[Slot],9))</f>
        <v/>
      </c>
      <c r="M37" s="4" t="str">
        <f>IF($A37="","",COUNTIFS(RawData[Date],$A37,RawData[Slot],10))</f>
        <v/>
      </c>
      <c r="N37" s="4" t="str">
        <f>IF($A37="","",COUNTIFS(RawData[Date],$A37,RawData[Slot],11))</f>
        <v/>
      </c>
      <c r="O37" s="4" t="str">
        <f>IF($A37="","",COUNTIFS(RawData[Date],$A37,RawData[Slot],12))</f>
        <v/>
      </c>
      <c r="P37" s="4" t="str">
        <f>IF($A37="","",COUNTIFS(RawData[Date],$A37,RawData[Slot],13))</f>
        <v/>
      </c>
      <c r="Q37" s="4" t="str">
        <f>IF($A37="","",COUNTIFS(RawData[Date],$A37,RawData[Slot],14))</f>
        <v/>
      </c>
      <c r="R37" s="4" t="str">
        <f>IF($A37="","",COUNTIFS(RawData[Date],$A37,RawData[Slot],15))</f>
        <v/>
      </c>
      <c r="S37" s="4" t="str">
        <f>IF($A37="","",COUNTIFS(RawData[Date],$A37,RawData[Slot],16))</f>
        <v/>
      </c>
      <c r="T37" s="4" t="str">
        <f>IF($A37="","",COUNTIFS(RawData[Date],$A37,RawData[Slot],17))</f>
        <v/>
      </c>
      <c r="U37" s="4" t="str">
        <f>IF($A37="","",COUNTIFS(RawData[Date],$A37,RawData[Slot],18))</f>
        <v/>
      </c>
      <c r="V37" s="4" t="str">
        <f>IF($A37="","",COUNTIFS(RawData[Date],$A37,RawData[Slot],19))</f>
        <v/>
      </c>
      <c r="W37" s="4" t="str">
        <f>IF($A37="","",COUNTIFS(RawData[Date],$A37,RawData[Slot],20))</f>
        <v/>
      </c>
      <c r="X37" s="4" t="str">
        <f>IF($A37="","",COUNTIFS(RawData[Date],$A37,RawData[Slot],21))</f>
        <v/>
      </c>
      <c r="Y37" s="4" t="str">
        <f>IF($A37="","",COUNTIFS(RawData[Date],$A37,RawData[Slot],22))</f>
        <v/>
      </c>
      <c r="Z37" s="4" t="str">
        <f>IF($A37="","",COUNTIFS(RawData[Date],$A37,RawData[Slot],23))</f>
        <v/>
      </c>
      <c r="AA37" s="4" t="str">
        <f>IF($A37="","",COUNTIFS(RawData[Date],$A37,RawData[Slot],24))</f>
        <v/>
      </c>
      <c r="AB37" s="4" t="str">
        <f>IF($A37="","",COUNTIFS(RawData[Date],$A37,RawData[Slot],25))</f>
        <v/>
      </c>
      <c r="AC37" s="4" t="str">
        <f>IF($A37="","",COUNTIFS(RawData[Date],$A37,RawData[Slot],26))</f>
        <v/>
      </c>
      <c r="AD37" s="4" t="str">
        <f>IF($A37="","",COUNTIFS(RawData[Date],$A37,RawData[Slot],27))</f>
        <v/>
      </c>
      <c r="AE37" s="4" t="str">
        <f>IF($A37="","",COUNTIFS(RawData[Date],$A37,RawData[Slot],28))</f>
        <v/>
      </c>
      <c r="AF37" s="4" t="str">
        <f>IF($A37="","",COUNTIFS(RawData[Date],$A37,RawData[Slot],29))</f>
        <v/>
      </c>
      <c r="AG37" s="4" t="str">
        <f>IF($A37="","",COUNTIFS(RawData[Date],$A37,RawData[Slot],30))</f>
        <v/>
      </c>
      <c r="AH37" s="4" t="str">
        <f>IF($A37="","",COUNTIFS(RawData[Date],$A37,RawData[Slot],31))</f>
        <v/>
      </c>
      <c r="AI37" s="4" t="str">
        <f>IF($A37="","",COUNTIFS(RawData[Date],$A37,RawData[Slot],32))</f>
        <v/>
      </c>
      <c r="AJ37" s="4" t="str">
        <f>IF($A37="","",COUNTIFS(RawData[Date],$A37,RawData[Slot],33))</f>
        <v/>
      </c>
      <c r="AK37" s="4" t="str">
        <f>IF($A37="","",COUNTIFS(RawData[Date],$A37,RawData[Slot],34))</f>
        <v/>
      </c>
      <c r="AL37" s="4" t="str">
        <f>IF($A37="","",COUNTIFS(RawData[Date],$A37,RawData[Slot],35))</f>
        <v/>
      </c>
      <c r="AM37" s="4" t="str">
        <f>IF($A37="","",COUNTIFS(RawData[Date],$A37,RawData[Slot],36))</f>
        <v/>
      </c>
      <c r="AN37" s="4" t="str">
        <f>IF($A37="","",COUNTIFS(RawData[Date],$A37,RawData[Slot],37))</f>
        <v/>
      </c>
      <c r="AO37" s="4" t="str">
        <f>IF($A37="","",COUNTIFS(RawData[Date],$A37,RawData[Slot],38))</f>
        <v/>
      </c>
      <c r="AP37" s="4" t="str">
        <f>IF($A37="","",COUNTIFS(RawData[Date],$A37,RawData[Slot],39))</f>
        <v/>
      </c>
      <c r="AQ37" s="4" t="str">
        <f>IF($A37="","",COUNTIFS(RawData[Date],$A37,RawData[Slot],40))</f>
        <v/>
      </c>
      <c r="AR37" s="4" t="str">
        <f>IF($A37="","",COUNTIFS(RawData[Date],$A37,RawData[Slot],41))</f>
        <v/>
      </c>
      <c r="AS37" s="4" t="str">
        <f>IF($A37="","",COUNTIFS(RawData[Date],$A37,RawData[Slot],42))</f>
        <v/>
      </c>
      <c r="AT37" s="4" t="str">
        <f>IF($A37="","",COUNTIFS(RawData[Date],$A37,RawData[Slot],43))</f>
        <v/>
      </c>
      <c r="AU37" s="4" t="str">
        <f>IF($A37="","",COUNTIFS(RawData[Date],$A37,RawData[Slot],44))</f>
        <v/>
      </c>
      <c r="AV37" s="4" t="str">
        <f>IF($A37="","",COUNTIFS(RawData[Date],$A37,RawData[Slot],45))</f>
        <v/>
      </c>
      <c r="AW37" s="4" t="str">
        <f>IF($A37="","",COUNTIFS(RawData[Date],$A37,RawData[Slot],46))</f>
        <v/>
      </c>
      <c r="AX37" s="4" t="str">
        <f>IF($A37="","",COUNTIFS(RawData[Date],$A37,RawData[Slot],47))</f>
        <v/>
      </c>
      <c r="AY37" s="4" t="str">
        <f t="shared" ref="AY37:AY68" si="3">IF(A37="","",SUM(C37:AX37))</f>
        <v/>
      </c>
    </row>
    <row r="38" spans="1:51" x14ac:dyDescent="0.25">
      <c r="A38" s="7"/>
      <c r="B38" s="4" t="str">
        <f t="shared" si="2"/>
        <v/>
      </c>
      <c r="C38" s="4" t="str">
        <f>IF($A38="","",COUNTIFS(RawData[Date],$A38,RawData[Slot],0))</f>
        <v/>
      </c>
      <c r="D38" s="4" t="str">
        <f>IF($A38="","",COUNTIFS(RawData[Date],$A38,RawData[Slot],1))</f>
        <v/>
      </c>
      <c r="E38" s="4" t="str">
        <f>IF($A38="","",COUNTIFS(RawData[Date],$A38,RawData[Slot],2))</f>
        <v/>
      </c>
      <c r="F38" s="4" t="str">
        <f>IF($A38="","",COUNTIFS(RawData[Date],$A38,RawData[Slot],3))</f>
        <v/>
      </c>
      <c r="G38" s="4" t="str">
        <f>IF($A38="","",COUNTIFS(RawData[Date],$A38,RawData[Slot],4))</f>
        <v/>
      </c>
      <c r="H38" s="4" t="str">
        <f>IF($A38="","",COUNTIFS(RawData[Date],$A38,RawData[Slot],5))</f>
        <v/>
      </c>
      <c r="I38" s="4" t="str">
        <f>IF($A38="","",COUNTIFS(RawData[Date],$A38,RawData[Slot],6))</f>
        <v/>
      </c>
      <c r="J38" s="4" t="str">
        <f>IF($A38="","",COUNTIFS(RawData[Date],$A38,RawData[Slot],7))</f>
        <v/>
      </c>
      <c r="K38" s="4" t="str">
        <f>IF($A38="","",COUNTIFS(RawData[Date],$A38,RawData[Slot],8))</f>
        <v/>
      </c>
      <c r="L38" s="4" t="str">
        <f>IF($A38="","",COUNTIFS(RawData[Date],$A38,RawData[Slot],9))</f>
        <v/>
      </c>
      <c r="M38" s="4" t="str">
        <f>IF($A38="","",COUNTIFS(RawData[Date],$A38,RawData[Slot],10))</f>
        <v/>
      </c>
      <c r="N38" s="4" t="str">
        <f>IF($A38="","",COUNTIFS(RawData[Date],$A38,RawData[Slot],11))</f>
        <v/>
      </c>
      <c r="O38" s="4" t="str">
        <f>IF($A38="","",COUNTIFS(RawData[Date],$A38,RawData[Slot],12))</f>
        <v/>
      </c>
      <c r="P38" s="4" t="str">
        <f>IF($A38="","",COUNTIFS(RawData[Date],$A38,RawData[Slot],13))</f>
        <v/>
      </c>
      <c r="Q38" s="4" t="str">
        <f>IF($A38="","",COUNTIFS(RawData[Date],$A38,RawData[Slot],14))</f>
        <v/>
      </c>
      <c r="R38" s="4" t="str">
        <f>IF($A38="","",COUNTIFS(RawData[Date],$A38,RawData[Slot],15))</f>
        <v/>
      </c>
      <c r="S38" s="4" t="str">
        <f>IF($A38="","",COUNTIFS(RawData[Date],$A38,RawData[Slot],16))</f>
        <v/>
      </c>
      <c r="T38" s="4" t="str">
        <f>IF($A38="","",COUNTIFS(RawData[Date],$A38,RawData[Slot],17))</f>
        <v/>
      </c>
      <c r="U38" s="4" t="str">
        <f>IF($A38="","",COUNTIFS(RawData[Date],$A38,RawData[Slot],18))</f>
        <v/>
      </c>
      <c r="V38" s="4" t="str">
        <f>IF($A38="","",COUNTIFS(RawData[Date],$A38,RawData[Slot],19))</f>
        <v/>
      </c>
      <c r="W38" s="4" t="str">
        <f>IF($A38="","",COUNTIFS(RawData[Date],$A38,RawData[Slot],20))</f>
        <v/>
      </c>
      <c r="X38" s="4" t="str">
        <f>IF($A38="","",COUNTIFS(RawData[Date],$A38,RawData[Slot],21))</f>
        <v/>
      </c>
      <c r="Y38" s="4" t="str">
        <f>IF($A38="","",COUNTIFS(RawData[Date],$A38,RawData[Slot],22))</f>
        <v/>
      </c>
      <c r="Z38" s="4" t="str">
        <f>IF($A38="","",COUNTIFS(RawData[Date],$A38,RawData[Slot],23))</f>
        <v/>
      </c>
      <c r="AA38" s="4" t="str">
        <f>IF($A38="","",COUNTIFS(RawData[Date],$A38,RawData[Slot],24))</f>
        <v/>
      </c>
      <c r="AB38" s="4" t="str">
        <f>IF($A38="","",COUNTIFS(RawData[Date],$A38,RawData[Slot],25))</f>
        <v/>
      </c>
      <c r="AC38" s="4" t="str">
        <f>IF($A38="","",COUNTIFS(RawData[Date],$A38,RawData[Slot],26))</f>
        <v/>
      </c>
      <c r="AD38" s="4" t="str">
        <f>IF($A38="","",COUNTIFS(RawData[Date],$A38,RawData[Slot],27))</f>
        <v/>
      </c>
      <c r="AE38" s="4" t="str">
        <f>IF($A38="","",COUNTIFS(RawData[Date],$A38,RawData[Slot],28))</f>
        <v/>
      </c>
      <c r="AF38" s="4" t="str">
        <f>IF($A38="","",COUNTIFS(RawData[Date],$A38,RawData[Slot],29))</f>
        <v/>
      </c>
      <c r="AG38" s="4" t="str">
        <f>IF($A38="","",COUNTIFS(RawData[Date],$A38,RawData[Slot],30))</f>
        <v/>
      </c>
      <c r="AH38" s="4" t="str">
        <f>IF($A38="","",COUNTIFS(RawData[Date],$A38,RawData[Slot],31))</f>
        <v/>
      </c>
      <c r="AI38" s="4" t="str">
        <f>IF($A38="","",COUNTIFS(RawData[Date],$A38,RawData[Slot],32))</f>
        <v/>
      </c>
      <c r="AJ38" s="4" t="str">
        <f>IF($A38="","",COUNTIFS(RawData[Date],$A38,RawData[Slot],33))</f>
        <v/>
      </c>
      <c r="AK38" s="4" t="str">
        <f>IF($A38="","",COUNTIFS(RawData[Date],$A38,RawData[Slot],34))</f>
        <v/>
      </c>
      <c r="AL38" s="4" t="str">
        <f>IF($A38="","",COUNTIFS(RawData[Date],$A38,RawData[Slot],35))</f>
        <v/>
      </c>
      <c r="AM38" s="4" t="str">
        <f>IF($A38="","",COUNTIFS(RawData[Date],$A38,RawData[Slot],36))</f>
        <v/>
      </c>
      <c r="AN38" s="4" t="str">
        <f>IF($A38="","",COUNTIFS(RawData[Date],$A38,RawData[Slot],37))</f>
        <v/>
      </c>
      <c r="AO38" s="4" t="str">
        <f>IF($A38="","",COUNTIFS(RawData[Date],$A38,RawData[Slot],38))</f>
        <v/>
      </c>
      <c r="AP38" s="4" t="str">
        <f>IF($A38="","",COUNTIFS(RawData[Date],$A38,RawData[Slot],39))</f>
        <v/>
      </c>
      <c r="AQ38" s="4" t="str">
        <f>IF($A38="","",COUNTIFS(RawData[Date],$A38,RawData[Slot],40))</f>
        <v/>
      </c>
      <c r="AR38" s="4" t="str">
        <f>IF($A38="","",COUNTIFS(RawData[Date],$A38,RawData[Slot],41))</f>
        <v/>
      </c>
      <c r="AS38" s="4" t="str">
        <f>IF($A38="","",COUNTIFS(RawData[Date],$A38,RawData[Slot],42))</f>
        <v/>
      </c>
      <c r="AT38" s="4" t="str">
        <f>IF($A38="","",COUNTIFS(RawData[Date],$A38,RawData[Slot],43))</f>
        <v/>
      </c>
      <c r="AU38" s="4" t="str">
        <f>IF($A38="","",COUNTIFS(RawData[Date],$A38,RawData[Slot],44))</f>
        <v/>
      </c>
      <c r="AV38" s="4" t="str">
        <f>IF($A38="","",COUNTIFS(RawData[Date],$A38,RawData[Slot],45))</f>
        <v/>
      </c>
      <c r="AW38" s="4" t="str">
        <f>IF($A38="","",COUNTIFS(RawData[Date],$A38,RawData[Slot],46))</f>
        <v/>
      </c>
      <c r="AX38" s="4" t="str">
        <f>IF($A38="","",COUNTIFS(RawData[Date],$A38,RawData[Slot],47))</f>
        <v/>
      </c>
      <c r="AY38" s="4" t="str">
        <f t="shared" si="3"/>
        <v/>
      </c>
    </row>
    <row r="39" spans="1:51" x14ac:dyDescent="0.25">
      <c r="A39" s="7"/>
      <c r="B39" s="4" t="str">
        <f t="shared" si="2"/>
        <v/>
      </c>
      <c r="C39" s="4" t="str">
        <f>IF($A39="","",COUNTIFS(RawData[Date],$A39,RawData[Slot],0))</f>
        <v/>
      </c>
      <c r="D39" s="4" t="str">
        <f>IF($A39="","",COUNTIFS(RawData[Date],$A39,RawData[Slot],1))</f>
        <v/>
      </c>
      <c r="E39" s="4" t="str">
        <f>IF($A39="","",COUNTIFS(RawData[Date],$A39,RawData[Slot],2))</f>
        <v/>
      </c>
      <c r="F39" s="4" t="str">
        <f>IF($A39="","",COUNTIFS(RawData[Date],$A39,RawData[Slot],3))</f>
        <v/>
      </c>
      <c r="G39" s="4" t="str">
        <f>IF($A39="","",COUNTIFS(RawData[Date],$A39,RawData[Slot],4))</f>
        <v/>
      </c>
      <c r="H39" s="4" t="str">
        <f>IF($A39="","",COUNTIFS(RawData[Date],$A39,RawData[Slot],5))</f>
        <v/>
      </c>
      <c r="I39" s="4" t="str">
        <f>IF($A39="","",COUNTIFS(RawData[Date],$A39,RawData[Slot],6))</f>
        <v/>
      </c>
      <c r="J39" s="4" t="str">
        <f>IF($A39="","",COUNTIFS(RawData[Date],$A39,RawData[Slot],7))</f>
        <v/>
      </c>
      <c r="K39" s="4" t="str">
        <f>IF($A39="","",COUNTIFS(RawData[Date],$A39,RawData[Slot],8))</f>
        <v/>
      </c>
      <c r="L39" s="4" t="str">
        <f>IF($A39="","",COUNTIFS(RawData[Date],$A39,RawData[Slot],9))</f>
        <v/>
      </c>
      <c r="M39" s="4" t="str">
        <f>IF($A39="","",COUNTIFS(RawData[Date],$A39,RawData[Slot],10))</f>
        <v/>
      </c>
      <c r="N39" s="4" t="str">
        <f>IF($A39="","",COUNTIFS(RawData[Date],$A39,RawData[Slot],11))</f>
        <v/>
      </c>
      <c r="O39" s="4" t="str">
        <f>IF($A39="","",COUNTIFS(RawData[Date],$A39,RawData[Slot],12))</f>
        <v/>
      </c>
      <c r="P39" s="4" t="str">
        <f>IF($A39="","",COUNTIFS(RawData[Date],$A39,RawData[Slot],13))</f>
        <v/>
      </c>
      <c r="Q39" s="4" t="str">
        <f>IF($A39="","",COUNTIFS(RawData[Date],$A39,RawData[Slot],14))</f>
        <v/>
      </c>
      <c r="R39" s="4" t="str">
        <f>IF($A39="","",COUNTIFS(RawData[Date],$A39,RawData[Slot],15))</f>
        <v/>
      </c>
      <c r="S39" s="4" t="str">
        <f>IF($A39="","",COUNTIFS(RawData[Date],$A39,RawData[Slot],16))</f>
        <v/>
      </c>
      <c r="T39" s="4" t="str">
        <f>IF($A39="","",COUNTIFS(RawData[Date],$A39,RawData[Slot],17))</f>
        <v/>
      </c>
      <c r="U39" s="4" t="str">
        <f>IF($A39="","",COUNTIFS(RawData[Date],$A39,RawData[Slot],18))</f>
        <v/>
      </c>
      <c r="V39" s="4" t="str">
        <f>IF($A39="","",COUNTIFS(RawData[Date],$A39,RawData[Slot],19))</f>
        <v/>
      </c>
      <c r="W39" s="4" t="str">
        <f>IF($A39="","",COUNTIFS(RawData[Date],$A39,RawData[Slot],20))</f>
        <v/>
      </c>
      <c r="X39" s="4" t="str">
        <f>IF($A39="","",COUNTIFS(RawData[Date],$A39,RawData[Slot],21))</f>
        <v/>
      </c>
      <c r="Y39" s="4" t="str">
        <f>IF($A39="","",COUNTIFS(RawData[Date],$A39,RawData[Slot],22))</f>
        <v/>
      </c>
      <c r="Z39" s="4" t="str">
        <f>IF($A39="","",COUNTIFS(RawData[Date],$A39,RawData[Slot],23))</f>
        <v/>
      </c>
      <c r="AA39" s="4" t="str">
        <f>IF($A39="","",COUNTIFS(RawData[Date],$A39,RawData[Slot],24))</f>
        <v/>
      </c>
      <c r="AB39" s="4" t="str">
        <f>IF($A39="","",COUNTIFS(RawData[Date],$A39,RawData[Slot],25))</f>
        <v/>
      </c>
      <c r="AC39" s="4" t="str">
        <f>IF($A39="","",COUNTIFS(RawData[Date],$A39,RawData[Slot],26))</f>
        <v/>
      </c>
      <c r="AD39" s="4" t="str">
        <f>IF($A39="","",COUNTIFS(RawData[Date],$A39,RawData[Slot],27))</f>
        <v/>
      </c>
      <c r="AE39" s="4" t="str">
        <f>IF($A39="","",COUNTIFS(RawData[Date],$A39,RawData[Slot],28))</f>
        <v/>
      </c>
      <c r="AF39" s="4" t="str">
        <f>IF($A39="","",COUNTIFS(RawData[Date],$A39,RawData[Slot],29))</f>
        <v/>
      </c>
      <c r="AG39" s="4" t="str">
        <f>IF($A39="","",COUNTIFS(RawData[Date],$A39,RawData[Slot],30))</f>
        <v/>
      </c>
      <c r="AH39" s="4" t="str">
        <f>IF($A39="","",COUNTIFS(RawData[Date],$A39,RawData[Slot],31))</f>
        <v/>
      </c>
      <c r="AI39" s="4" t="str">
        <f>IF($A39="","",COUNTIFS(RawData[Date],$A39,RawData[Slot],32))</f>
        <v/>
      </c>
      <c r="AJ39" s="4" t="str">
        <f>IF($A39="","",COUNTIFS(RawData[Date],$A39,RawData[Slot],33))</f>
        <v/>
      </c>
      <c r="AK39" s="4" t="str">
        <f>IF($A39="","",COUNTIFS(RawData[Date],$A39,RawData[Slot],34))</f>
        <v/>
      </c>
      <c r="AL39" s="4" t="str">
        <f>IF($A39="","",COUNTIFS(RawData[Date],$A39,RawData[Slot],35))</f>
        <v/>
      </c>
      <c r="AM39" s="4" t="str">
        <f>IF($A39="","",COUNTIFS(RawData[Date],$A39,RawData[Slot],36))</f>
        <v/>
      </c>
      <c r="AN39" s="4" t="str">
        <f>IF($A39="","",COUNTIFS(RawData[Date],$A39,RawData[Slot],37))</f>
        <v/>
      </c>
      <c r="AO39" s="4" t="str">
        <f>IF($A39="","",COUNTIFS(RawData[Date],$A39,RawData[Slot],38))</f>
        <v/>
      </c>
      <c r="AP39" s="4" t="str">
        <f>IF($A39="","",COUNTIFS(RawData[Date],$A39,RawData[Slot],39))</f>
        <v/>
      </c>
      <c r="AQ39" s="4" t="str">
        <f>IF($A39="","",COUNTIFS(RawData[Date],$A39,RawData[Slot],40))</f>
        <v/>
      </c>
      <c r="AR39" s="4" t="str">
        <f>IF($A39="","",COUNTIFS(RawData[Date],$A39,RawData[Slot],41))</f>
        <v/>
      </c>
      <c r="AS39" s="4" t="str">
        <f>IF($A39="","",COUNTIFS(RawData[Date],$A39,RawData[Slot],42))</f>
        <v/>
      </c>
      <c r="AT39" s="4" t="str">
        <f>IF($A39="","",COUNTIFS(RawData[Date],$A39,RawData[Slot],43))</f>
        <v/>
      </c>
      <c r="AU39" s="4" t="str">
        <f>IF($A39="","",COUNTIFS(RawData[Date],$A39,RawData[Slot],44))</f>
        <v/>
      </c>
      <c r="AV39" s="4" t="str">
        <f>IF($A39="","",COUNTIFS(RawData[Date],$A39,RawData[Slot],45))</f>
        <v/>
      </c>
      <c r="AW39" s="4" t="str">
        <f>IF($A39="","",COUNTIFS(RawData[Date],$A39,RawData[Slot],46))</f>
        <v/>
      </c>
      <c r="AX39" s="4" t="str">
        <f>IF($A39="","",COUNTIFS(RawData[Date],$A39,RawData[Slot],47))</f>
        <v/>
      </c>
      <c r="AY39" s="4" t="str">
        <f t="shared" si="3"/>
        <v/>
      </c>
    </row>
    <row r="40" spans="1:51" x14ac:dyDescent="0.25">
      <c r="A40" s="7"/>
      <c r="B40" s="4" t="str">
        <f t="shared" si="2"/>
        <v/>
      </c>
      <c r="C40" s="4" t="str">
        <f>IF($A40="","",COUNTIFS(RawData[Date],$A40,RawData[Slot],0))</f>
        <v/>
      </c>
      <c r="D40" s="4" t="str">
        <f>IF($A40="","",COUNTIFS(RawData[Date],$A40,RawData[Slot],1))</f>
        <v/>
      </c>
      <c r="E40" s="4" t="str">
        <f>IF($A40="","",COUNTIFS(RawData[Date],$A40,RawData[Slot],2))</f>
        <v/>
      </c>
      <c r="F40" s="4" t="str">
        <f>IF($A40="","",COUNTIFS(RawData[Date],$A40,RawData[Slot],3))</f>
        <v/>
      </c>
      <c r="G40" s="4" t="str">
        <f>IF($A40="","",COUNTIFS(RawData[Date],$A40,RawData[Slot],4))</f>
        <v/>
      </c>
      <c r="H40" s="4" t="str">
        <f>IF($A40="","",COUNTIFS(RawData[Date],$A40,RawData[Slot],5))</f>
        <v/>
      </c>
      <c r="I40" s="4" t="str">
        <f>IF($A40="","",COUNTIFS(RawData[Date],$A40,RawData[Slot],6))</f>
        <v/>
      </c>
      <c r="J40" s="4" t="str">
        <f>IF($A40="","",COUNTIFS(RawData[Date],$A40,RawData[Slot],7))</f>
        <v/>
      </c>
      <c r="K40" s="4" t="str">
        <f>IF($A40="","",COUNTIFS(RawData[Date],$A40,RawData[Slot],8))</f>
        <v/>
      </c>
      <c r="L40" s="4" t="str">
        <f>IF($A40="","",COUNTIFS(RawData[Date],$A40,RawData[Slot],9))</f>
        <v/>
      </c>
      <c r="M40" s="4" t="str">
        <f>IF($A40="","",COUNTIFS(RawData[Date],$A40,RawData[Slot],10))</f>
        <v/>
      </c>
      <c r="N40" s="4" t="str">
        <f>IF($A40="","",COUNTIFS(RawData[Date],$A40,RawData[Slot],11))</f>
        <v/>
      </c>
      <c r="O40" s="4" t="str">
        <f>IF($A40="","",COUNTIFS(RawData[Date],$A40,RawData[Slot],12))</f>
        <v/>
      </c>
      <c r="P40" s="4" t="str">
        <f>IF($A40="","",COUNTIFS(RawData[Date],$A40,RawData[Slot],13))</f>
        <v/>
      </c>
      <c r="Q40" s="4" t="str">
        <f>IF($A40="","",COUNTIFS(RawData[Date],$A40,RawData[Slot],14))</f>
        <v/>
      </c>
      <c r="R40" s="4" t="str">
        <f>IF($A40="","",COUNTIFS(RawData[Date],$A40,RawData[Slot],15))</f>
        <v/>
      </c>
      <c r="S40" s="4" t="str">
        <f>IF($A40="","",COUNTIFS(RawData[Date],$A40,RawData[Slot],16))</f>
        <v/>
      </c>
      <c r="T40" s="4" t="str">
        <f>IF($A40="","",COUNTIFS(RawData[Date],$A40,RawData[Slot],17))</f>
        <v/>
      </c>
      <c r="U40" s="4" t="str">
        <f>IF($A40="","",COUNTIFS(RawData[Date],$A40,RawData[Slot],18))</f>
        <v/>
      </c>
      <c r="V40" s="4" t="str">
        <f>IF($A40="","",COUNTIFS(RawData[Date],$A40,RawData[Slot],19))</f>
        <v/>
      </c>
      <c r="W40" s="4" t="str">
        <f>IF($A40="","",COUNTIFS(RawData[Date],$A40,RawData[Slot],20))</f>
        <v/>
      </c>
      <c r="X40" s="4" t="str">
        <f>IF($A40="","",COUNTIFS(RawData[Date],$A40,RawData[Slot],21))</f>
        <v/>
      </c>
      <c r="Y40" s="4" t="str">
        <f>IF($A40="","",COUNTIFS(RawData[Date],$A40,RawData[Slot],22))</f>
        <v/>
      </c>
      <c r="Z40" s="4" t="str">
        <f>IF($A40="","",COUNTIFS(RawData[Date],$A40,RawData[Slot],23))</f>
        <v/>
      </c>
      <c r="AA40" s="4" t="str">
        <f>IF($A40="","",COUNTIFS(RawData[Date],$A40,RawData[Slot],24))</f>
        <v/>
      </c>
      <c r="AB40" s="4" t="str">
        <f>IF($A40="","",COUNTIFS(RawData[Date],$A40,RawData[Slot],25))</f>
        <v/>
      </c>
      <c r="AC40" s="4" t="str">
        <f>IF($A40="","",COUNTIFS(RawData[Date],$A40,RawData[Slot],26))</f>
        <v/>
      </c>
      <c r="AD40" s="4" t="str">
        <f>IF($A40="","",COUNTIFS(RawData[Date],$A40,RawData[Slot],27))</f>
        <v/>
      </c>
      <c r="AE40" s="4" t="str">
        <f>IF($A40="","",COUNTIFS(RawData[Date],$A40,RawData[Slot],28))</f>
        <v/>
      </c>
      <c r="AF40" s="4" t="str">
        <f>IF($A40="","",COUNTIFS(RawData[Date],$A40,RawData[Slot],29))</f>
        <v/>
      </c>
      <c r="AG40" s="4" t="str">
        <f>IF($A40="","",COUNTIFS(RawData[Date],$A40,RawData[Slot],30))</f>
        <v/>
      </c>
      <c r="AH40" s="4" t="str">
        <f>IF($A40="","",COUNTIFS(RawData[Date],$A40,RawData[Slot],31))</f>
        <v/>
      </c>
      <c r="AI40" s="4" t="str">
        <f>IF($A40="","",COUNTIFS(RawData[Date],$A40,RawData[Slot],32))</f>
        <v/>
      </c>
      <c r="AJ40" s="4" t="str">
        <f>IF($A40="","",COUNTIFS(RawData[Date],$A40,RawData[Slot],33))</f>
        <v/>
      </c>
      <c r="AK40" s="4" t="str">
        <f>IF($A40="","",COUNTIFS(RawData[Date],$A40,RawData[Slot],34))</f>
        <v/>
      </c>
      <c r="AL40" s="4" t="str">
        <f>IF($A40="","",COUNTIFS(RawData[Date],$A40,RawData[Slot],35))</f>
        <v/>
      </c>
      <c r="AM40" s="4" t="str">
        <f>IF($A40="","",COUNTIFS(RawData[Date],$A40,RawData[Slot],36))</f>
        <v/>
      </c>
      <c r="AN40" s="4" t="str">
        <f>IF($A40="","",COUNTIFS(RawData[Date],$A40,RawData[Slot],37))</f>
        <v/>
      </c>
      <c r="AO40" s="4" t="str">
        <f>IF($A40="","",COUNTIFS(RawData[Date],$A40,RawData[Slot],38))</f>
        <v/>
      </c>
      <c r="AP40" s="4" t="str">
        <f>IF($A40="","",COUNTIFS(RawData[Date],$A40,RawData[Slot],39))</f>
        <v/>
      </c>
      <c r="AQ40" s="4" t="str">
        <f>IF($A40="","",COUNTIFS(RawData[Date],$A40,RawData[Slot],40))</f>
        <v/>
      </c>
      <c r="AR40" s="4" t="str">
        <f>IF($A40="","",COUNTIFS(RawData[Date],$A40,RawData[Slot],41))</f>
        <v/>
      </c>
      <c r="AS40" s="4" t="str">
        <f>IF($A40="","",COUNTIFS(RawData[Date],$A40,RawData[Slot],42))</f>
        <v/>
      </c>
      <c r="AT40" s="4" t="str">
        <f>IF($A40="","",COUNTIFS(RawData[Date],$A40,RawData[Slot],43))</f>
        <v/>
      </c>
      <c r="AU40" s="4" t="str">
        <f>IF($A40="","",COUNTIFS(RawData[Date],$A40,RawData[Slot],44))</f>
        <v/>
      </c>
      <c r="AV40" s="4" t="str">
        <f>IF($A40="","",COUNTIFS(RawData[Date],$A40,RawData[Slot],45))</f>
        <v/>
      </c>
      <c r="AW40" s="4" t="str">
        <f>IF($A40="","",COUNTIFS(RawData[Date],$A40,RawData[Slot],46))</f>
        <v/>
      </c>
      <c r="AX40" s="4" t="str">
        <f>IF($A40="","",COUNTIFS(RawData[Date],$A40,RawData[Slot],47))</f>
        <v/>
      </c>
      <c r="AY40" s="4" t="str">
        <f t="shared" si="3"/>
        <v/>
      </c>
    </row>
    <row r="41" spans="1:51" x14ac:dyDescent="0.25">
      <c r="A41" s="7"/>
      <c r="B41" s="4" t="str">
        <f t="shared" si="2"/>
        <v/>
      </c>
      <c r="C41" s="4" t="str">
        <f>IF($A41="","",COUNTIFS(RawData[Date],$A41,RawData[Slot],0))</f>
        <v/>
      </c>
      <c r="D41" s="4" t="str">
        <f>IF($A41="","",COUNTIFS(RawData[Date],$A41,RawData[Slot],1))</f>
        <v/>
      </c>
      <c r="E41" s="4" t="str">
        <f>IF($A41="","",COUNTIFS(RawData[Date],$A41,RawData[Slot],2))</f>
        <v/>
      </c>
      <c r="F41" s="4" t="str">
        <f>IF($A41="","",COUNTIFS(RawData[Date],$A41,RawData[Slot],3))</f>
        <v/>
      </c>
      <c r="G41" s="4" t="str">
        <f>IF($A41="","",COUNTIFS(RawData[Date],$A41,RawData[Slot],4))</f>
        <v/>
      </c>
      <c r="H41" s="4" t="str">
        <f>IF($A41="","",COUNTIFS(RawData[Date],$A41,RawData[Slot],5))</f>
        <v/>
      </c>
      <c r="I41" s="4" t="str">
        <f>IF($A41="","",COUNTIFS(RawData[Date],$A41,RawData[Slot],6))</f>
        <v/>
      </c>
      <c r="J41" s="4" t="str">
        <f>IF($A41="","",COUNTIFS(RawData[Date],$A41,RawData[Slot],7))</f>
        <v/>
      </c>
      <c r="K41" s="4" t="str">
        <f>IF($A41="","",COUNTIFS(RawData[Date],$A41,RawData[Slot],8))</f>
        <v/>
      </c>
      <c r="L41" s="4" t="str">
        <f>IF($A41="","",COUNTIFS(RawData[Date],$A41,RawData[Slot],9))</f>
        <v/>
      </c>
      <c r="M41" s="4" t="str">
        <f>IF($A41="","",COUNTIFS(RawData[Date],$A41,RawData[Slot],10))</f>
        <v/>
      </c>
      <c r="N41" s="4" t="str">
        <f>IF($A41="","",COUNTIFS(RawData[Date],$A41,RawData[Slot],11))</f>
        <v/>
      </c>
      <c r="O41" s="4" t="str">
        <f>IF($A41="","",COUNTIFS(RawData[Date],$A41,RawData[Slot],12))</f>
        <v/>
      </c>
      <c r="P41" s="4" t="str">
        <f>IF($A41="","",COUNTIFS(RawData[Date],$A41,RawData[Slot],13))</f>
        <v/>
      </c>
      <c r="Q41" s="4" t="str">
        <f>IF($A41="","",COUNTIFS(RawData[Date],$A41,RawData[Slot],14))</f>
        <v/>
      </c>
      <c r="R41" s="4" t="str">
        <f>IF($A41="","",COUNTIFS(RawData[Date],$A41,RawData[Slot],15))</f>
        <v/>
      </c>
      <c r="S41" s="4" t="str">
        <f>IF($A41="","",COUNTIFS(RawData[Date],$A41,RawData[Slot],16))</f>
        <v/>
      </c>
      <c r="T41" s="4" t="str">
        <f>IF($A41="","",COUNTIFS(RawData[Date],$A41,RawData[Slot],17))</f>
        <v/>
      </c>
      <c r="U41" s="4" t="str">
        <f>IF($A41="","",COUNTIFS(RawData[Date],$A41,RawData[Slot],18))</f>
        <v/>
      </c>
      <c r="V41" s="4" t="str">
        <f>IF($A41="","",COUNTIFS(RawData[Date],$A41,RawData[Slot],19))</f>
        <v/>
      </c>
      <c r="W41" s="4" t="str">
        <f>IF($A41="","",COUNTIFS(RawData[Date],$A41,RawData[Slot],20))</f>
        <v/>
      </c>
      <c r="X41" s="4" t="str">
        <f>IF($A41="","",COUNTIFS(RawData[Date],$A41,RawData[Slot],21))</f>
        <v/>
      </c>
      <c r="Y41" s="4" t="str">
        <f>IF($A41="","",COUNTIFS(RawData[Date],$A41,RawData[Slot],22))</f>
        <v/>
      </c>
      <c r="Z41" s="4" t="str">
        <f>IF($A41="","",COUNTIFS(RawData[Date],$A41,RawData[Slot],23))</f>
        <v/>
      </c>
      <c r="AA41" s="4" t="str">
        <f>IF($A41="","",COUNTIFS(RawData[Date],$A41,RawData[Slot],24))</f>
        <v/>
      </c>
      <c r="AB41" s="4" t="str">
        <f>IF($A41="","",COUNTIFS(RawData[Date],$A41,RawData[Slot],25))</f>
        <v/>
      </c>
      <c r="AC41" s="4" t="str">
        <f>IF($A41="","",COUNTIFS(RawData[Date],$A41,RawData[Slot],26))</f>
        <v/>
      </c>
      <c r="AD41" s="4" t="str">
        <f>IF($A41="","",COUNTIFS(RawData[Date],$A41,RawData[Slot],27))</f>
        <v/>
      </c>
      <c r="AE41" s="4" t="str">
        <f>IF($A41="","",COUNTIFS(RawData[Date],$A41,RawData[Slot],28))</f>
        <v/>
      </c>
      <c r="AF41" s="4" t="str">
        <f>IF($A41="","",COUNTIFS(RawData[Date],$A41,RawData[Slot],29))</f>
        <v/>
      </c>
      <c r="AG41" s="4" t="str">
        <f>IF($A41="","",COUNTIFS(RawData[Date],$A41,RawData[Slot],30))</f>
        <v/>
      </c>
      <c r="AH41" s="4" t="str">
        <f>IF($A41="","",COUNTIFS(RawData[Date],$A41,RawData[Slot],31))</f>
        <v/>
      </c>
      <c r="AI41" s="4" t="str">
        <f>IF($A41="","",COUNTIFS(RawData[Date],$A41,RawData[Slot],32))</f>
        <v/>
      </c>
      <c r="AJ41" s="4" t="str">
        <f>IF($A41="","",COUNTIFS(RawData[Date],$A41,RawData[Slot],33))</f>
        <v/>
      </c>
      <c r="AK41" s="4" t="str">
        <f>IF($A41="","",COUNTIFS(RawData[Date],$A41,RawData[Slot],34))</f>
        <v/>
      </c>
      <c r="AL41" s="4" t="str">
        <f>IF($A41="","",COUNTIFS(RawData[Date],$A41,RawData[Slot],35))</f>
        <v/>
      </c>
      <c r="AM41" s="4" t="str">
        <f>IF($A41="","",COUNTIFS(RawData[Date],$A41,RawData[Slot],36))</f>
        <v/>
      </c>
      <c r="AN41" s="4" t="str">
        <f>IF($A41="","",COUNTIFS(RawData[Date],$A41,RawData[Slot],37))</f>
        <v/>
      </c>
      <c r="AO41" s="4" t="str">
        <f>IF($A41="","",COUNTIFS(RawData[Date],$A41,RawData[Slot],38))</f>
        <v/>
      </c>
      <c r="AP41" s="4" t="str">
        <f>IF($A41="","",COUNTIFS(RawData[Date],$A41,RawData[Slot],39))</f>
        <v/>
      </c>
      <c r="AQ41" s="4" t="str">
        <f>IF($A41="","",COUNTIFS(RawData[Date],$A41,RawData[Slot],40))</f>
        <v/>
      </c>
      <c r="AR41" s="4" t="str">
        <f>IF($A41="","",COUNTIFS(RawData[Date],$A41,RawData[Slot],41))</f>
        <v/>
      </c>
      <c r="AS41" s="4" t="str">
        <f>IF($A41="","",COUNTIFS(RawData[Date],$A41,RawData[Slot],42))</f>
        <v/>
      </c>
      <c r="AT41" s="4" t="str">
        <f>IF($A41="","",COUNTIFS(RawData[Date],$A41,RawData[Slot],43))</f>
        <v/>
      </c>
      <c r="AU41" s="4" t="str">
        <f>IF($A41="","",COUNTIFS(RawData[Date],$A41,RawData[Slot],44))</f>
        <v/>
      </c>
      <c r="AV41" s="4" t="str">
        <f>IF($A41="","",COUNTIFS(RawData[Date],$A41,RawData[Slot],45))</f>
        <v/>
      </c>
      <c r="AW41" s="4" t="str">
        <f>IF($A41="","",COUNTIFS(RawData[Date],$A41,RawData[Slot],46))</f>
        <v/>
      </c>
      <c r="AX41" s="4" t="str">
        <f>IF($A41="","",COUNTIFS(RawData[Date],$A41,RawData[Slot],47))</f>
        <v/>
      </c>
      <c r="AY41" s="4" t="str">
        <f t="shared" si="3"/>
        <v/>
      </c>
    </row>
    <row r="42" spans="1:51" x14ac:dyDescent="0.25">
      <c r="A42" s="7"/>
      <c r="B42" s="4" t="str">
        <f t="shared" si="2"/>
        <v/>
      </c>
      <c r="C42" s="4" t="str">
        <f>IF($A42="","",COUNTIFS(RawData[Date],$A42,RawData[Slot],0))</f>
        <v/>
      </c>
      <c r="D42" s="4" t="str">
        <f>IF($A42="","",COUNTIFS(RawData[Date],$A42,RawData[Slot],1))</f>
        <v/>
      </c>
      <c r="E42" s="4" t="str">
        <f>IF($A42="","",COUNTIFS(RawData[Date],$A42,RawData[Slot],2))</f>
        <v/>
      </c>
      <c r="F42" s="4" t="str">
        <f>IF($A42="","",COUNTIFS(RawData[Date],$A42,RawData[Slot],3))</f>
        <v/>
      </c>
      <c r="G42" s="4" t="str">
        <f>IF($A42="","",COUNTIFS(RawData[Date],$A42,RawData[Slot],4))</f>
        <v/>
      </c>
      <c r="H42" s="4" t="str">
        <f>IF($A42="","",COUNTIFS(RawData[Date],$A42,RawData[Slot],5))</f>
        <v/>
      </c>
      <c r="I42" s="4" t="str">
        <f>IF($A42="","",COUNTIFS(RawData[Date],$A42,RawData[Slot],6))</f>
        <v/>
      </c>
      <c r="J42" s="4" t="str">
        <f>IF($A42="","",COUNTIFS(RawData[Date],$A42,RawData[Slot],7))</f>
        <v/>
      </c>
      <c r="K42" s="4" t="str">
        <f>IF($A42="","",COUNTIFS(RawData[Date],$A42,RawData[Slot],8))</f>
        <v/>
      </c>
      <c r="L42" s="4" t="str">
        <f>IF($A42="","",COUNTIFS(RawData[Date],$A42,RawData[Slot],9))</f>
        <v/>
      </c>
      <c r="M42" s="4" t="str">
        <f>IF($A42="","",COUNTIFS(RawData[Date],$A42,RawData[Slot],10))</f>
        <v/>
      </c>
      <c r="N42" s="4" t="str">
        <f>IF($A42="","",COUNTIFS(RawData[Date],$A42,RawData[Slot],11))</f>
        <v/>
      </c>
      <c r="O42" s="4" t="str">
        <f>IF($A42="","",COUNTIFS(RawData[Date],$A42,RawData[Slot],12))</f>
        <v/>
      </c>
      <c r="P42" s="4" t="str">
        <f>IF($A42="","",COUNTIFS(RawData[Date],$A42,RawData[Slot],13))</f>
        <v/>
      </c>
      <c r="Q42" s="4" t="str">
        <f>IF($A42="","",COUNTIFS(RawData[Date],$A42,RawData[Slot],14))</f>
        <v/>
      </c>
      <c r="R42" s="4" t="str">
        <f>IF($A42="","",COUNTIFS(RawData[Date],$A42,RawData[Slot],15))</f>
        <v/>
      </c>
      <c r="S42" s="4" t="str">
        <f>IF($A42="","",COUNTIFS(RawData[Date],$A42,RawData[Slot],16))</f>
        <v/>
      </c>
      <c r="T42" s="4" t="str">
        <f>IF($A42="","",COUNTIFS(RawData[Date],$A42,RawData[Slot],17))</f>
        <v/>
      </c>
      <c r="U42" s="4" t="str">
        <f>IF($A42="","",COUNTIFS(RawData[Date],$A42,RawData[Slot],18))</f>
        <v/>
      </c>
      <c r="V42" s="4" t="str">
        <f>IF($A42="","",COUNTIFS(RawData[Date],$A42,RawData[Slot],19))</f>
        <v/>
      </c>
      <c r="W42" s="4" t="str">
        <f>IF($A42="","",COUNTIFS(RawData[Date],$A42,RawData[Slot],20))</f>
        <v/>
      </c>
      <c r="X42" s="4" t="str">
        <f>IF($A42="","",COUNTIFS(RawData[Date],$A42,RawData[Slot],21))</f>
        <v/>
      </c>
      <c r="Y42" s="4" t="str">
        <f>IF($A42="","",COUNTIFS(RawData[Date],$A42,RawData[Slot],22))</f>
        <v/>
      </c>
      <c r="Z42" s="4" t="str">
        <f>IF($A42="","",COUNTIFS(RawData[Date],$A42,RawData[Slot],23))</f>
        <v/>
      </c>
      <c r="AA42" s="4" t="str">
        <f>IF($A42="","",COUNTIFS(RawData[Date],$A42,RawData[Slot],24))</f>
        <v/>
      </c>
      <c r="AB42" s="4" t="str">
        <f>IF($A42="","",COUNTIFS(RawData[Date],$A42,RawData[Slot],25))</f>
        <v/>
      </c>
      <c r="AC42" s="4" t="str">
        <f>IF($A42="","",COUNTIFS(RawData[Date],$A42,RawData[Slot],26))</f>
        <v/>
      </c>
      <c r="AD42" s="4" t="str">
        <f>IF($A42="","",COUNTIFS(RawData[Date],$A42,RawData[Slot],27))</f>
        <v/>
      </c>
      <c r="AE42" s="4" t="str">
        <f>IF($A42="","",COUNTIFS(RawData[Date],$A42,RawData[Slot],28))</f>
        <v/>
      </c>
      <c r="AF42" s="4" t="str">
        <f>IF($A42="","",COUNTIFS(RawData[Date],$A42,RawData[Slot],29))</f>
        <v/>
      </c>
      <c r="AG42" s="4" t="str">
        <f>IF($A42="","",COUNTIFS(RawData[Date],$A42,RawData[Slot],30))</f>
        <v/>
      </c>
      <c r="AH42" s="4" t="str">
        <f>IF($A42="","",COUNTIFS(RawData[Date],$A42,RawData[Slot],31))</f>
        <v/>
      </c>
      <c r="AI42" s="4" t="str">
        <f>IF($A42="","",COUNTIFS(RawData[Date],$A42,RawData[Slot],32))</f>
        <v/>
      </c>
      <c r="AJ42" s="4" t="str">
        <f>IF($A42="","",COUNTIFS(RawData[Date],$A42,RawData[Slot],33))</f>
        <v/>
      </c>
      <c r="AK42" s="4" t="str">
        <f>IF($A42="","",COUNTIFS(RawData[Date],$A42,RawData[Slot],34))</f>
        <v/>
      </c>
      <c r="AL42" s="4" t="str">
        <f>IF($A42="","",COUNTIFS(RawData[Date],$A42,RawData[Slot],35))</f>
        <v/>
      </c>
      <c r="AM42" s="4" t="str">
        <f>IF($A42="","",COUNTIFS(RawData[Date],$A42,RawData[Slot],36))</f>
        <v/>
      </c>
      <c r="AN42" s="4" t="str">
        <f>IF($A42="","",COUNTIFS(RawData[Date],$A42,RawData[Slot],37))</f>
        <v/>
      </c>
      <c r="AO42" s="4" t="str">
        <f>IF($A42="","",COUNTIFS(RawData[Date],$A42,RawData[Slot],38))</f>
        <v/>
      </c>
      <c r="AP42" s="4" t="str">
        <f>IF($A42="","",COUNTIFS(RawData[Date],$A42,RawData[Slot],39))</f>
        <v/>
      </c>
      <c r="AQ42" s="4" t="str">
        <f>IF($A42="","",COUNTIFS(RawData[Date],$A42,RawData[Slot],40))</f>
        <v/>
      </c>
      <c r="AR42" s="4" t="str">
        <f>IF($A42="","",COUNTIFS(RawData[Date],$A42,RawData[Slot],41))</f>
        <v/>
      </c>
      <c r="AS42" s="4" t="str">
        <f>IF($A42="","",COUNTIFS(RawData[Date],$A42,RawData[Slot],42))</f>
        <v/>
      </c>
      <c r="AT42" s="4" t="str">
        <f>IF($A42="","",COUNTIFS(RawData[Date],$A42,RawData[Slot],43))</f>
        <v/>
      </c>
      <c r="AU42" s="4" t="str">
        <f>IF($A42="","",COUNTIFS(RawData[Date],$A42,RawData[Slot],44))</f>
        <v/>
      </c>
      <c r="AV42" s="4" t="str">
        <f>IF($A42="","",COUNTIFS(RawData[Date],$A42,RawData[Slot],45))</f>
        <v/>
      </c>
      <c r="AW42" s="4" t="str">
        <f>IF($A42="","",COUNTIFS(RawData[Date],$A42,RawData[Slot],46))</f>
        <v/>
      </c>
      <c r="AX42" s="4" t="str">
        <f>IF($A42="","",COUNTIFS(RawData[Date],$A42,RawData[Slot],47))</f>
        <v/>
      </c>
      <c r="AY42" s="4" t="str">
        <f t="shared" si="3"/>
        <v/>
      </c>
    </row>
    <row r="43" spans="1:51" x14ac:dyDescent="0.25">
      <c r="A43" s="7"/>
      <c r="B43" s="4" t="str">
        <f t="shared" si="2"/>
        <v/>
      </c>
      <c r="C43" s="4" t="str">
        <f>IF($A43="","",COUNTIFS(RawData[Date],$A43,RawData[Slot],0))</f>
        <v/>
      </c>
      <c r="D43" s="4" t="str">
        <f>IF($A43="","",COUNTIFS(RawData[Date],$A43,RawData[Slot],1))</f>
        <v/>
      </c>
      <c r="E43" s="4" t="str">
        <f>IF($A43="","",COUNTIFS(RawData[Date],$A43,RawData[Slot],2))</f>
        <v/>
      </c>
      <c r="F43" s="4" t="str">
        <f>IF($A43="","",COUNTIFS(RawData[Date],$A43,RawData[Slot],3))</f>
        <v/>
      </c>
      <c r="G43" s="4" t="str">
        <f>IF($A43="","",COUNTIFS(RawData[Date],$A43,RawData[Slot],4))</f>
        <v/>
      </c>
      <c r="H43" s="4" t="str">
        <f>IF($A43="","",COUNTIFS(RawData[Date],$A43,RawData[Slot],5))</f>
        <v/>
      </c>
      <c r="I43" s="4" t="str">
        <f>IF($A43="","",COUNTIFS(RawData[Date],$A43,RawData[Slot],6))</f>
        <v/>
      </c>
      <c r="J43" s="4" t="str">
        <f>IF($A43="","",COUNTIFS(RawData[Date],$A43,RawData[Slot],7))</f>
        <v/>
      </c>
      <c r="K43" s="4" t="str">
        <f>IF($A43="","",COUNTIFS(RawData[Date],$A43,RawData[Slot],8))</f>
        <v/>
      </c>
      <c r="L43" s="4" t="str">
        <f>IF($A43="","",COUNTIFS(RawData[Date],$A43,RawData[Slot],9))</f>
        <v/>
      </c>
      <c r="M43" s="4" t="str">
        <f>IF($A43="","",COUNTIFS(RawData[Date],$A43,RawData[Slot],10))</f>
        <v/>
      </c>
      <c r="N43" s="4" t="str">
        <f>IF($A43="","",COUNTIFS(RawData[Date],$A43,RawData[Slot],11))</f>
        <v/>
      </c>
      <c r="O43" s="4" t="str">
        <f>IF($A43="","",COUNTIFS(RawData[Date],$A43,RawData[Slot],12))</f>
        <v/>
      </c>
      <c r="P43" s="4" t="str">
        <f>IF($A43="","",COUNTIFS(RawData[Date],$A43,RawData[Slot],13))</f>
        <v/>
      </c>
      <c r="Q43" s="4" t="str">
        <f>IF($A43="","",COUNTIFS(RawData[Date],$A43,RawData[Slot],14))</f>
        <v/>
      </c>
      <c r="R43" s="4" t="str">
        <f>IF($A43="","",COUNTIFS(RawData[Date],$A43,RawData[Slot],15))</f>
        <v/>
      </c>
      <c r="S43" s="4" t="str">
        <f>IF($A43="","",COUNTIFS(RawData[Date],$A43,RawData[Slot],16))</f>
        <v/>
      </c>
      <c r="T43" s="4" t="str">
        <f>IF($A43="","",COUNTIFS(RawData[Date],$A43,RawData[Slot],17))</f>
        <v/>
      </c>
      <c r="U43" s="4" t="str">
        <f>IF($A43="","",COUNTIFS(RawData[Date],$A43,RawData[Slot],18))</f>
        <v/>
      </c>
      <c r="V43" s="4" t="str">
        <f>IF($A43="","",COUNTIFS(RawData[Date],$A43,RawData[Slot],19))</f>
        <v/>
      </c>
      <c r="W43" s="4" t="str">
        <f>IF($A43="","",COUNTIFS(RawData[Date],$A43,RawData[Slot],20))</f>
        <v/>
      </c>
      <c r="X43" s="4" t="str">
        <f>IF($A43="","",COUNTIFS(RawData[Date],$A43,RawData[Slot],21))</f>
        <v/>
      </c>
      <c r="Y43" s="4" t="str">
        <f>IF($A43="","",COUNTIFS(RawData[Date],$A43,RawData[Slot],22))</f>
        <v/>
      </c>
      <c r="Z43" s="4" t="str">
        <f>IF($A43="","",COUNTIFS(RawData[Date],$A43,RawData[Slot],23))</f>
        <v/>
      </c>
      <c r="AA43" s="4" t="str">
        <f>IF($A43="","",COUNTIFS(RawData[Date],$A43,RawData[Slot],24))</f>
        <v/>
      </c>
      <c r="AB43" s="4" t="str">
        <f>IF($A43="","",COUNTIFS(RawData[Date],$A43,RawData[Slot],25))</f>
        <v/>
      </c>
      <c r="AC43" s="4" t="str">
        <f>IF($A43="","",COUNTIFS(RawData[Date],$A43,RawData[Slot],26))</f>
        <v/>
      </c>
      <c r="AD43" s="4" t="str">
        <f>IF($A43="","",COUNTIFS(RawData[Date],$A43,RawData[Slot],27))</f>
        <v/>
      </c>
      <c r="AE43" s="4" t="str">
        <f>IF($A43="","",COUNTIFS(RawData[Date],$A43,RawData[Slot],28))</f>
        <v/>
      </c>
      <c r="AF43" s="4" t="str">
        <f>IF($A43="","",COUNTIFS(RawData[Date],$A43,RawData[Slot],29))</f>
        <v/>
      </c>
      <c r="AG43" s="4" t="str">
        <f>IF($A43="","",COUNTIFS(RawData[Date],$A43,RawData[Slot],30))</f>
        <v/>
      </c>
      <c r="AH43" s="4" t="str">
        <f>IF($A43="","",COUNTIFS(RawData[Date],$A43,RawData[Slot],31))</f>
        <v/>
      </c>
      <c r="AI43" s="4" t="str">
        <f>IF($A43="","",COUNTIFS(RawData[Date],$A43,RawData[Slot],32))</f>
        <v/>
      </c>
      <c r="AJ43" s="4" t="str">
        <f>IF($A43="","",COUNTIFS(RawData[Date],$A43,RawData[Slot],33))</f>
        <v/>
      </c>
      <c r="AK43" s="4" t="str">
        <f>IF($A43="","",COUNTIFS(RawData[Date],$A43,RawData[Slot],34))</f>
        <v/>
      </c>
      <c r="AL43" s="4" t="str">
        <f>IF($A43="","",COUNTIFS(RawData[Date],$A43,RawData[Slot],35))</f>
        <v/>
      </c>
      <c r="AM43" s="4" t="str">
        <f>IF($A43="","",COUNTIFS(RawData[Date],$A43,RawData[Slot],36))</f>
        <v/>
      </c>
      <c r="AN43" s="4" t="str">
        <f>IF($A43="","",COUNTIFS(RawData[Date],$A43,RawData[Slot],37))</f>
        <v/>
      </c>
      <c r="AO43" s="4" t="str">
        <f>IF($A43="","",COUNTIFS(RawData[Date],$A43,RawData[Slot],38))</f>
        <v/>
      </c>
      <c r="AP43" s="4" t="str">
        <f>IF($A43="","",COUNTIFS(RawData[Date],$A43,RawData[Slot],39))</f>
        <v/>
      </c>
      <c r="AQ43" s="4" t="str">
        <f>IF($A43="","",COUNTIFS(RawData[Date],$A43,RawData[Slot],40))</f>
        <v/>
      </c>
      <c r="AR43" s="4" t="str">
        <f>IF($A43="","",COUNTIFS(RawData[Date],$A43,RawData[Slot],41))</f>
        <v/>
      </c>
      <c r="AS43" s="4" t="str">
        <f>IF($A43="","",COUNTIFS(RawData[Date],$A43,RawData[Slot],42))</f>
        <v/>
      </c>
      <c r="AT43" s="4" t="str">
        <f>IF($A43="","",COUNTIFS(RawData[Date],$A43,RawData[Slot],43))</f>
        <v/>
      </c>
      <c r="AU43" s="4" t="str">
        <f>IF($A43="","",COUNTIFS(RawData[Date],$A43,RawData[Slot],44))</f>
        <v/>
      </c>
      <c r="AV43" s="4" t="str">
        <f>IF($A43="","",COUNTIFS(RawData[Date],$A43,RawData[Slot],45))</f>
        <v/>
      </c>
      <c r="AW43" s="4" t="str">
        <f>IF($A43="","",COUNTIFS(RawData[Date],$A43,RawData[Slot],46))</f>
        <v/>
      </c>
      <c r="AX43" s="4" t="str">
        <f>IF($A43="","",COUNTIFS(RawData[Date],$A43,RawData[Slot],47))</f>
        <v/>
      </c>
      <c r="AY43" s="4" t="str">
        <f t="shared" si="3"/>
        <v/>
      </c>
    </row>
    <row r="44" spans="1:51" x14ac:dyDescent="0.25">
      <c r="A44" s="7"/>
      <c r="B44" s="4" t="str">
        <f t="shared" si="2"/>
        <v/>
      </c>
      <c r="C44" s="4" t="str">
        <f>IF($A44="","",COUNTIFS(RawData[Date],$A44,RawData[Slot],0))</f>
        <v/>
      </c>
      <c r="D44" s="4" t="str">
        <f>IF($A44="","",COUNTIFS(RawData[Date],$A44,RawData[Slot],1))</f>
        <v/>
      </c>
      <c r="E44" s="4" t="str">
        <f>IF($A44="","",COUNTIFS(RawData[Date],$A44,RawData[Slot],2))</f>
        <v/>
      </c>
      <c r="F44" s="4" t="str">
        <f>IF($A44="","",COUNTIFS(RawData[Date],$A44,RawData[Slot],3))</f>
        <v/>
      </c>
      <c r="G44" s="4" t="str">
        <f>IF($A44="","",COUNTIFS(RawData[Date],$A44,RawData[Slot],4))</f>
        <v/>
      </c>
      <c r="H44" s="4" t="str">
        <f>IF($A44="","",COUNTIFS(RawData[Date],$A44,RawData[Slot],5))</f>
        <v/>
      </c>
      <c r="I44" s="4" t="str">
        <f>IF($A44="","",COUNTIFS(RawData[Date],$A44,RawData[Slot],6))</f>
        <v/>
      </c>
      <c r="J44" s="4" t="str">
        <f>IF($A44="","",COUNTIFS(RawData[Date],$A44,RawData[Slot],7))</f>
        <v/>
      </c>
      <c r="K44" s="4" t="str">
        <f>IF($A44="","",COUNTIFS(RawData[Date],$A44,RawData[Slot],8))</f>
        <v/>
      </c>
      <c r="L44" s="4" t="str">
        <f>IF($A44="","",COUNTIFS(RawData[Date],$A44,RawData[Slot],9))</f>
        <v/>
      </c>
      <c r="M44" s="4" t="str">
        <f>IF($A44="","",COUNTIFS(RawData[Date],$A44,RawData[Slot],10))</f>
        <v/>
      </c>
      <c r="N44" s="4" t="str">
        <f>IF($A44="","",COUNTIFS(RawData[Date],$A44,RawData[Slot],11))</f>
        <v/>
      </c>
      <c r="O44" s="4" t="str">
        <f>IF($A44="","",COUNTIFS(RawData[Date],$A44,RawData[Slot],12))</f>
        <v/>
      </c>
      <c r="P44" s="4" t="str">
        <f>IF($A44="","",COUNTIFS(RawData[Date],$A44,RawData[Slot],13))</f>
        <v/>
      </c>
      <c r="Q44" s="4" t="str">
        <f>IF($A44="","",COUNTIFS(RawData[Date],$A44,RawData[Slot],14))</f>
        <v/>
      </c>
      <c r="R44" s="4" t="str">
        <f>IF($A44="","",COUNTIFS(RawData[Date],$A44,RawData[Slot],15))</f>
        <v/>
      </c>
      <c r="S44" s="4" t="str">
        <f>IF($A44="","",COUNTIFS(RawData[Date],$A44,RawData[Slot],16))</f>
        <v/>
      </c>
      <c r="T44" s="4" t="str">
        <f>IF($A44="","",COUNTIFS(RawData[Date],$A44,RawData[Slot],17))</f>
        <v/>
      </c>
      <c r="U44" s="4" t="str">
        <f>IF($A44="","",COUNTIFS(RawData[Date],$A44,RawData[Slot],18))</f>
        <v/>
      </c>
      <c r="V44" s="4" t="str">
        <f>IF($A44="","",COUNTIFS(RawData[Date],$A44,RawData[Slot],19))</f>
        <v/>
      </c>
      <c r="W44" s="4" t="str">
        <f>IF($A44="","",COUNTIFS(RawData[Date],$A44,RawData[Slot],20))</f>
        <v/>
      </c>
      <c r="X44" s="4" t="str">
        <f>IF($A44="","",COUNTIFS(RawData[Date],$A44,RawData[Slot],21))</f>
        <v/>
      </c>
      <c r="Y44" s="4" t="str">
        <f>IF($A44="","",COUNTIFS(RawData[Date],$A44,RawData[Slot],22))</f>
        <v/>
      </c>
      <c r="Z44" s="4" t="str">
        <f>IF($A44="","",COUNTIFS(RawData[Date],$A44,RawData[Slot],23))</f>
        <v/>
      </c>
      <c r="AA44" s="4" t="str">
        <f>IF($A44="","",COUNTIFS(RawData[Date],$A44,RawData[Slot],24))</f>
        <v/>
      </c>
      <c r="AB44" s="4" t="str">
        <f>IF($A44="","",COUNTIFS(RawData[Date],$A44,RawData[Slot],25))</f>
        <v/>
      </c>
      <c r="AC44" s="4" t="str">
        <f>IF($A44="","",COUNTIFS(RawData[Date],$A44,RawData[Slot],26))</f>
        <v/>
      </c>
      <c r="AD44" s="4" t="str">
        <f>IF($A44="","",COUNTIFS(RawData[Date],$A44,RawData[Slot],27))</f>
        <v/>
      </c>
      <c r="AE44" s="4" t="str">
        <f>IF($A44="","",COUNTIFS(RawData[Date],$A44,RawData[Slot],28))</f>
        <v/>
      </c>
      <c r="AF44" s="4" t="str">
        <f>IF($A44="","",COUNTIFS(RawData[Date],$A44,RawData[Slot],29))</f>
        <v/>
      </c>
      <c r="AG44" s="4" t="str">
        <f>IF($A44="","",COUNTIFS(RawData[Date],$A44,RawData[Slot],30))</f>
        <v/>
      </c>
      <c r="AH44" s="4" t="str">
        <f>IF($A44="","",COUNTIFS(RawData[Date],$A44,RawData[Slot],31))</f>
        <v/>
      </c>
      <c r="AI44" s="4" t="str">
        <f>IF($A44="","",COUNTIFS(RawData[Date],$A44,RawData[Slot],32))</f>
        <v/>
      </c>
      <c r="AJ44" s="4" t="str">
        <f>IF($A44="","",COUNTIFS(RawData[Date],$A44,RawData[Slot],33))</f>
        <v/>
      </c>
      <c r="AK44" s="4" t="str">
        <f>IF($A44="","",COUNTIFS(RawData[Date],$A44,RawData[Slot],34))</f>
        <v/>
      </c>
      <c r="AL44" s="4" t="str">
        <f>IF($A44="","",COUNTIFS(RawData[Date],$A44,RawData[Slot],35))</f>
        <v/>
      </c>
      <c r="AM44" s="4" t="str">
        <f>IF($A44="","",COUNTIFS(RawData[Date],$A44,RawData[Slot],36))</f>
        <v/>
      </c>
      <c r="AN44" s="4" t="str">
        <f>IF($A44="","",COUNTIFS(RawData[Date],$A44,RawData[Slot],37))</f>
        <v/>
      </c>
      <c r="AO44" s="4" t="str">
        <f>IF($A44="","",COUNTIFS(RawData[Date],$A44,RawData[Slot],38))</f>
        <v/>
      </c>
      <c r="AP44" s="4" t="str">
        <f>IF($A44="","",COUNTIFS(RawData[Date],$A44,RawData[Slot],39))</f>
        <v/>
      </c>
      <c r="AQ44" s="4" t="str">
        <f>IF($A44="","",COUNTIFS(RawData[Date],$A44,RawData[Slot],40))</f>
        <v/>
      </c>
      <c r="AR44" s="4" t="str">
        <f>IF($A44="","",COUNTIFS(RawData[Date],$A44,RawData[Slot],41))</f>
        <v/>
      </c>
      <c r="AS44" s="4" t="str">
        <f>IF($A44="","",COUNTIFS(RawData[Date],$A44,RawData[Slot],42))</f>
        <v/>
      </c>
      <c r="AT44" s="4" t="str">
        <f>IF($A44="","",COUNTIFS(RawData[Date],$A44,RawData[Slot],43))</f>
        <v/>
      </c>
      <c r="AU44" s="4" t="str">
        <f>IF($A44="","",COUNTIFS(RawData[Date],$A44,RawData[Slot],44))</f>
        <v/>
      </c>
      <c r="AV44" s="4" t="str">
        <f>IF($A44="","",COUNTIFS(RawData[Date],$A44,RawData[Slot],45))</f>
        <v/>
      </c>
      <c r="AW44" s="4" t="str">
        <f>IF($A44="","",COUNTIFS(RawData[Date],$A44,RawData[Slot],46))</f>
        <v/>
      </c>
      <c r="AX44" s="4" t="str">
        <f>IF($A44="","",COUNTIFS(RawData[Date],$A44,RawData[Slot],47))</f>
        <v/>
      </c>
      <c r="AY44" s="4" t="str">
        <f t="shared" si="3"/>
        <v/>
      </c>
    </row>
    <row r="45" spans="1:51" x14ac:dyDescent="0.25">
      <c r="A45" s="7"/>
      <c r="B45" s="4" t="str">
        <f t="shared" si="2"/>
        <v/>
      </c>
      <c r="C45" s="4" t="str">
        <f>IF($A45="","",COUNTIFS(RawData[Date],$A45,RawData[Slot],0))</f>
        <v/>
      </c>
      <c r="D45" s="4" t="str">
        <f>IF($A45="","",COUNTIFS(RawData[Date],$A45,RawData[Slot],1))</f>
        <v/>
      </c>
      <c r="E45" s="4" t="str">
        <f>IF($A45="","",COUNTIFS(RawData[Date],$A45,RawData[Slot],2))</f>
        <v/>
      </c>
      <c r="F45" s="4" t="str">
        <f>IF($A45="","",COUNTIFS(RawData[Date],$A45,RawData[Slot],3))</f>
        <v/>
      </c>
      <c r="G45" s="4" t="str">
        <f>IF($A45="","",COUNTIFS(RawData[Date],$A45,RawData[Slot],4))</f>
        <v/>
      </c>
      <c r="H45" s="4" t="str">
        <f>IF($A45="","",COUNTIFS(RawData[Date],$A45,RawData[Slot],5))</f>
        <v/>
      </c>
      <c r="I45" s="4" t="str">
        <f>IF($A45="","",COUNTIFS(RawData[Date],$A45,RawData[Slot],6))</f>
        <v/>
      </c>
      <c r="J45" s="4" t="str">
        <f>IF($A45="","",COUNTIFS(RawData[Date],$A45,RawData[Slot],7))</f>
        <v/>
      </c>
      <c r="K45" s="4" t="str">
        <f>IF($A45="","",COUNTIFS(RawData[Date],$A45,RawData[Slot],8))</f>
        <v/>
      </c>
      <c r="L45" s="4" t="str">
        <f>IF($A45="","",COUNTIFS(RawData[Date],$A45,RawData[Slot],9))</f>
        <v/>
      </c>
      <c r="M45" s="4" t="str">
        <f>IF($A45="","",COUNTIFS(RawData[Date],$A45,RawData[Slot],10))</f>
        <v/>
      </c>
      <c r="N45" s="4" t="str">
        <f>IF($A45="","",COUNTIFS(RawData[Date],$A45,RawData[Slot],11))</f>
        <v/>
      </c>
      <c r="O45" s="4" t="str">
        <f>IF($A45="","",COUNTIFS(RawData[Date],$A45,RawData[Slot],12))</f>
        <v/>
      </c>
      <c r="P45" s="4" t="str">
        <f>IF($A45="","",COUNTIFS(RawData[Date],$A45,RawData[Slot],13))</f>
        <v/>
      </c>
      <c r="Q45" s="4" t="str">
        <f>IF($A45="","",COUNTIFS(RawData[Date],$A45,RawData[Slot],14))</f>
        <v/>
      </c>
      <c r="R45" s="4" t="str">
        <f>IF($A45="","",COUNTIFS(RawData[Date],$A45,RawData[Slot],15))</f>
        <v/>
      </c>
      <c r="S45" s="4" t="str">
        <f>IF($A45="","",COUNTIFS(RawData[Date],$A45,RawData[Slot],16))</f>
        <v/>
      </c>
      <c r="T45" s="4" t="str">
        <f>IF($A45="","",COUNTIFS(RawData[Date],$A45,RawData[Slot],17))</f>
        <v/>
      </c>
      <c r="U45" s="4" t="str">
        <f>IF($A45="","",COUNTIFS(RawData[Date],$A45,RawData[Slot],18))</f>
        <v/>
      </c>
      <c r="V45" s="4" t="str">
        <f>IF($A45="","",COUNTIFS(RawData[Date],$A45,RawData[Slot],19))</f>
        <v/>
      </c>
      <c r="W45" s="4" t="str">
        <f>IF($A45="","",COUNTIFS(RawData[Date],$A45,RawData[Slot],20))</f>
        <v/>
      </c>
      <c r="X45" s="4" t="str">
        <f>IF($A45="","",COUNTIFS(RawData[Date],$A45,RawData[Slot],21))</f>
        <v/>
      </c>
      <c r="Y45" s="4" t="str">
        <f>IF($A45="","",COUNTIFS(RawData[Date],$A45,RawData[Slot],22))</f>
        <v/>
      </c>
      <c r="Z45" s="4" t="str">
        <f>IF($A45="","",COUNTIFS(RawData[Date],$A45,RawData[Slot],23))</f>
        <v/>
      </c>
      <c r="AA45" s="4" t="str">
        <f>IF($A45="","",COUNTIFS(RawData[Date],$A45,RawData[Slot],24))</f>
        <v/>
      </c>
      <c r="AB45" s="4" t="str">
        <f>IF($A45="","",COUNTIFS(RawData[Date],$A45,RawData[Slot],25))</f>
        <v/>
      </c>
      <c r="AC45" s="4" t="str">
        <f>IF($A45="","",COUNTIFS(RawData[Date],$A45,RawData[Slot],26))</f>
        <v/>
      </c>
      <c r="AD45" s="4" t="str">
        <f>IF($A45="","",COUNTIFS(RawData[Date],$A45,RawData[Slot],27))</f>
        <v/>
      </c>
      <c r="AE45" s="4" t="str">
        <f>IF($A45="","",COUNTIFS(RawData[Date],$A45,RawData[Slot],28))</f>
        <v/>
      </c>
      <c r="AF45" s="4" t="str">
        <f>IF($A45="","",COUNTIFS(RawData[Date],$A45,RawData[Slot],29))</f>
        <v/>
      </c>
      <c r="AG45" s="4" t="str">
        <f>IF($A45="","",COUNTIFS(RawData[Date],$A45,RawData[Slot],30))</f>
        <v/>
      </c>
      <c r="AH45" s="4" t="str">
        <f>IF($A45="","",COUNTIFS(RawData[Date],$A45,RawData[Slot],31))</f>
        <v/>
      </c>
      <c r="AI45" s="4" t="str">
        <f>IF($A45="","",COUNTIFS(RawData[Date],$A45,RawData[Slot],32))</f>
        <v/>
      </c>
      <c r="AJ45" s="4" t="str">
        <f>IF($A45="","",COUNTIFS(RawData[Date],$A45,RawData[Slot],33))</f>
        <v/>
      </c>
      <c r="AK45" s="4" t="str">
        <f>IF($A45="","",COUNTIFS(RawData[Date],$A45,RawData[Slot],34))</f>
        <v/>
      </c>
      <c r="AL45" s="4" t="str">
        <f>IF($A45="","",COUNTIFS(RawData[Date],$A45,RawData[Slot],35))</f>
        <v/>
      </c>
      <c r="AM45" s="4" t="str">
        <f>IF($A45="","",COUNTIFS(RawData[Date],$A45,RawData[Slot],36))</f>
        <v/>
      </c>
      <c r="AN45" s="4" t="str">
        <f>IF($A45="","",COUNTIFS(RawData[Date],$A45,RawData[Slot],37))</f>
        <v/>
      </c>
      <c r="AO45" s="4" t="str">
        <f>IF($A45="","",COUNTIFS(RawData[Date],$A45,RawData[Slot],38))</f>
        <v/>
      </c>
      <c r="AP45" s="4" t="str">
        <f>IF($A45="","",COUNTIFS(RawData[Date],$A45,RawData[Slot],39))</f>
        <v/>
      </c>
      <c r="AQ45" s="4" t="str">
        <f>IF($A45="","",COUNTIFS(RawData[Date],$A45,RawData[Slot],40))</f>
        <v/>
      </c>
      <c r="AR45" s="4" t="str">
        <f>IF($A45="","",COUNTIFS(RawData[Date],$A45,RawData[Slot],41))</f>
        <v/>
      </c>
      <c r="AS45" s="4" t="str">
        <f>IF($A45="","",COUNTIFS(RawData[Date],$A45,RawData[Slot],42))</f>
        <v/>
      </c>
      <c r="AT45" s="4" t="str">
        <f>IF($A45="","",COUNTIFS(RawData[Date],$A45,RawData[Slot],43))</f>
        <v/>
      </c>
      <c r="AU45" s="4" t="str">
        <f>IF($A45="","",COUNTIFS(RawData[Date],$A45,RawData[Slot],44))</f>
        <v/>
      </c>
      <c r="AV45" s="4" t="str">
        <f>IF($A45="","",COUNTIFS(RawData[Date],$A45,RawData[Slot],45))</f>
        <v/>
      </c>
      <c r="AW45" s="4" t="str">
        <f>IF($A45="","",COUNTIFS(RawData[Date],$A45,RawData[Slot],46))</f>
        <v/>
      </c>
      <c r="AX45" s="4" t="str">
        <f>IF($A45="","",COUNTIFS(RawData[Date],$A45,RawData[Slot],47))</f>
        <v/>
      </c>
      <c r="AY45" s="4" t="str">
        <f t="shared" si="3"/>
        <v/>
      </c>
    </row>
    <row r="46" spans="1:51" x14ac:dyDescent="0.25">
      <c r="A46" s="7"/>
      <c r="B46" s="4" t="str">
        <f t="shared" si="2"/>
        <v/>
      </c>
      <c r="C46" s="4" t="str">
        <f>IF($A46="","",COUNTIFS(RawData[Date],$A46,RawData[Slot],0))</f>
        <v/>
      </c>
      <c r="D46" s="4" t="str">
        <f>IF($A46="","",COUNTIFS(RawData[Date],$A46,RawData[Slot],1))</f>
        <v/>
      </c>
      <c r="E46" s="4" t="str">
        <f>IF($A46="","",COUNTIFS(RawData[Date],$A46,RawData[Slot],2))</f>
        <v/>
      </c>
      <c r="F46" s="4" t="str">
        <f>IF($A46="","",COUNTIFS(RawData[Date],$A46,RawData[Slot],3))</f>
        <v/>
      </c>
      <c r="G46" s="4" t="str">
        <f>IF($A46="","",COUNTIFS(RawData[Date],$A46,RawData[Slot],4))</f>
        <v/>
      </c>
      <c r="H46" s="4" t="str">
        <f>IF($A46="","",COUNTIFS(RawData[Date],$A46,RawData[Slot],5))</f>
        <v/>
      </c>
      <c r="I46" s="4" t="str">
        <f>IF($A46="","",COUNTIFS(RawData[Date],$A46,RawData[Slot],6))</f>
        <v/>
      </c>
      <c r="J46" s="4" t="str">
        <f>IF($A46="","",COUNTIFS(RawData[Date],$A46,RawData[Slot],7))</f>
        <v/>
      </c>
      <c r="K46" s="4" t="str">
        <f>IF($A46="","",COUNTIFS(RawData[Date],$A46,RawData[Slot],8))</f>
        <v/>
      </c>
      <c r="L46" s="4" t="str">
        <f>IF($A46="","",COUNTIFS(RawData[Date],$A46,RawData[Slot],9))</f>
        <v/>
      </c>
      <c r="M46" s="4" t="str">
        <f>IF($A46="","",COUNTIFS(RawData[Date],$A46,RawData[Slot],10))</f>
        <v/>
      </c>
      <c r="N46" s="4" t="str">
        <f>IF($A46="","",COUNTIFS(RawData[Date],$A46,RawData[Slot],11))</f>
        <v/>
      </c>
      <c r="O46" s="4" t="str">
        <f>IF($A46="","",COUNTIFS(RawData[Date],$A46,RawData[Slot],12))</f>
        <v/>
      </c>
      <c r="P46" s="4" t="str">
        <f>IF($A46="","",COUNTIFS(RawData[Date],$A46,RawData[Slot],13))</f>
        <v/>
      </c>
      <c r="Q46" s="4" t="str">
        <f>IF($A46="","",COUNTIFS(RawData[Date],$A46,RawData[Slot],14))</f>
        <v/>
      </c>
      <c r="R46" s="4" t="str">
        <f>IF($A46="","",COUNTIFS(RawData[Date],$A46,RawData[Slot],15))</f>
        <v/>
      </c>
      <c r="S46" s="4" t="str">
        <f>IF($A46="","",COUNTIFS(RawData[Date],$A46,RawData[Slot],16))</f>
        <v/>
      </c>
      <c r="T46" s="4" t="str">
        <f>IF($A46="","",COUNTIFS(RawData[Date],$A46,RawData[Slot],17))</f>
        <v/>
      </c>
      <c r="U46" s="4" t="str">
        <f>IF($A46="","",COUNTIFS(RawData[Date],$A46,RawData[Slot],18))</f>
        <v/>
      </c>
      <c r="V46" s="4" t="str">
        <f>IF($A46="","",COUNTIFS(RawData[Date],$A46,RawData[Slot],19))</f>
        <v/>
      </c>
      <c r="W46" s="4" t="str">
        <f>IF($A46="","",COUNTIFS(RawData[Date],$A46,RawData[Slot],20))</f>
        <v/>
      </c>
      <c r="X46" s="4" t="str">
        <f>IF($A46="","",COUNTIFS(RawData[Date],$A46,RawData[Slot],21))</f>
        <v/>
      </c>
      <c r="Y46" s="4" t="str">
        <f>IF($A46="","",COUNTIFS(RawData[Date],$A46,RawData[Slot],22))</f>
        <v/>
      </c>
      <c r="Z46" s="4" t="str">
        <f>IF($A46="","",COUNTIFS(RawData[Date],$A46,RawData[Slot],23))</f>
        <v/>
      </c>
      <c r="AA46" s="4" t="str">
        <f>IF($A46="","",COUNTIFS(RawData[Date],$A46,RawData[Slot],24))</f>
        <v/>
      </c>
      <c r="AB46" s="4" t="str">
        <f>IF($A46="","",COUNTIFS(RawData[Date],$A46,RawData[Slot],25))</f>
        <v/>
      </c>
      <c r="AC46" s="4" t="str">
        <f>IF($A46="","",COUNTIFS(RawData[Date],$A46,RawData[Slot],26))</f>
        <v/>
      </c>
      <c r="AD46" s="4" t="str">
        <f>IF($A46="","",COUNTIFS(RawData[Date],$A46,RawData[Slot],27))</f>
        <v/>
      </c>
      <c r="AE46" s="4" t="str">
        <f>IF($A46="","",COUNTIFS(RawData[Date],$A46,RawData[Slot],28))</f>
        <v/>
      </c>
      <c r="AF46" s="4" t="str">
        <f>IF($A46="","",COUNTIFS(RawData[Date],$A46,RawData[Slot],29))</f>
        <v/>
      </c>
      <c r="AG46" s="4" t="str">
        <f>IF($A46="","",COUNTIFS(RawData[Date],$A46,RawData[Slot],30))</f>
        <v/>
      </c>
      <c r="AH46" s="4" t="str">
        <f>IF($A46="","",COUNTIFS(RawData[Date],$A46,RawData[Slot],31))</f>
        <v/>
      </c>
      <c r="AI46" s="4" t="str">
        <f>IF($A46="","",COUNTIFS(RawData[Date],$A46,RawData[Slot],32))</f>
        <v/>
      </c>
      <c r="AJ46" s="4" t="str">
        <f>IF($A46="","",COUNTIFS(RawData[Date],$A46,RawData[Slot],33))</f>
        <v/>
      </c>
      <c r="AK46" s="4" t="str">
        <f>IF($A46="","",COUNTIFS(RawData[Date],$A46,RawData[Slot],34))</f>
        <v/>
      </c>
      <c r="AL46" s="4" t="str">
        <f>IF($A46="","",COUNTIFS(RawData[Date],$A46,RawData[Slot],35))</f>
        <v/>
      </c>
      <c r="AM46" s="4" t="str">
        <f>IF($A46="","",COUNTIFS(RawData[Date],$A46,RawData[Slot],36))</f>
        <v/>
      </c>
      <c r="AN46" s="4" t="str">
        <f>IF($A46="","",COUNTIFS(RawData[Date],$A46,RawData[Slot],37))</f>
        <v/>
      </c>
      <c r="AO46" s="4" t="str">
        <f>IF($A46="","",COUNTIFS(RawData[Date],$A46,RawData[Slot],38))</f>
        <v/>
      </c>
      <c r="AP46" s="4" t="str">
        <f>IF($A46="","",COUNTIFS(RawData[Date],$A46,RawData[Slot],39))</f>
        <v/>
      </c>
      <c r="AQ46" s="4" t="str">
        <f>IF($A46="","",COUNTIFS(RawData[Date],$A46,RawData[Slot],40))</f>
        <v/>
      </c>
      <c r="AR46" s="4" t="str">
        <f>IF($A46="","",COUNTIFS(RawData[Date],$A46,RawData[Slot],41))</f>
        <v/>
      </c>
      <c r="AS46" s="4" t="str">
        <f>IF($A46="","",COUNTIFS(RawData[Date],$A46,RawData[Slot],42))</f>
        <v/>
      </c>
      <c r="AT46" s="4" t="str">
        <f>IF($A46="","",COUNTIFS(RawData[Date],$A46,RawData[Slot],43))</f>
        <v/>
      </c>
      <c r="AU46" s="4" t="str">
        <f>IF($A46="","",COUNTIFS(RawData[Date],$A46,RawData[Slot],44))</f>
        <v/>
      </c>
      <c r="AV46" s="4" t="str">
        <f>IF($A46="","",COUNTIFS(RawData[Date],$A46,RawData[Slot],45))</f>
        <v/>
      </c>
      <c r="AW46" s="4" t="str">
        <f>IF($A46="","",COUNTIFS(RawData[Date],$A46,RawData[Slot],46))</f>
        <v/>
      </c>
      <c r="AX46" s="4" t="str">
        <f>IF($A46="","",COUNTIFS(RawData[Date],$A46,RawData[Slot],47))</f>
        <v/>
      </c>
      <c r="AY46" s="4" t="str">
        <f t="shared" si="3"/>
        <v/>
      </c>
    </row>
    <row r="47" spans="1:51" x14ac:dyDescent="0.25">
      <c r="A47" s="7"/>
      <c r="B47" s="4" t="str">
        <f t="shared" si="2"/>
        <v/>
      </c>
      <c r="C47" s="4" t="str">
        <f>IF($A47="","",COUNTIFS(RawData[Date],$A47,RawData[Slot],0))</f>
        <v/>
      </c>
      <c r="D47" s="4" t="str">
        <f>IF($A47="","",COUNTIFS(RawData[Date],$A47,RawData[Slot],1))</f>
        <v/>
      </c>
      <c r="E47" s="4" t="str">
        <f>IF($A47="","",COUNTIFS(RawData[Date],$A47,RawData[Slot],2))</f>
        <v/>
      </c>
      <c r="F47" s="4" t="str">
        <f>IF($A47="","",COUNTIFS(RawData[Date],$A47,RawData[Slot],3))</f>
        <v/>
      </c>
      <c r="G47" s="4" t="str">
        <f>IF($A47="","",COUNTIFS(RawData[Date],$A47,RawData[Slot],4))</f>
        <v/>
      </c>
      <c r="H47" s="4" t="str">
        <f>IF($A47="","",COUNTIFS(RawData[Date],$A47,RawData[Slot],5))</f>
        <v/>
      </c>
      <c r="I47" s="4" t="str">
        <f>IF($A47="","",COUNTIFS(RawData[Date],$A47,RawData[Slot],6))</f>
        <v/>
      </c>
      <c r="J47" s="4" t="str">
        <f>IF($A47="","",COUNTIFS(RawData[Date],$A47,RawData[Slot],7))</f>
        <v/>
      </c>
      <c r="K47" s="4" t="str">
        <f>IF($A47="","",COUNTIFS(RawData[Date],$A47,RawData[Slot],8))</f>
        <v/>
      </c>
      <c r="L47" s="4" t="str">
        <f>IF($A47="","",COUNTIFS(RawData[Date],$A47,RawData[Slot],9))</f>
        <v/>
      </c>
      <c r="M47" s="4" t="str">
        <f>IF($A47="","",COUNTIFS(RawData[Date],$A47,RawData[Slot],10))</f>
        <v/>
      </c>
      <c r="N47" s="4" t="str">
        <f>IF($A47="","",COUNTIFS(RawData[Date],$A47,RawData[Slot],11))</f>
        <v/>
      </c>
      <c r="O47" s="4" t="str">
        <f>IF($A47="","",COUNTIFS(RawData[Date],$A47,RawData[Slot],12))</f>
        <v/>
      </c>
      <c r="P47" s="4" t="str">
        <f>IF($A47="","",COUNTIFS(RawData[Date],$A47,RawData[Slot],13))</f>
        <v/>
      </c>
      <c r="Q47" s="4" t="str">
        <f>IF($A47="","",COUNTIFS(RawData[Date],$A47,RawData[Slot],14))</f>
        <v/>
      </c>
      <c r="R47" s="4" t="str">
        <f>IF($A47="","",COUNTIFS(RawData[Date],$A47,RawData[Slot],15))</f>
        <v/>
      </c>
      <c r="S47" s="4" t="str">
        <f>IF($A47="","",COUNTIFS(RawData[Date],$A47,RawData[Slot],16))</f>
        <v/>
      </c>
      <c r="T47" s="4" t="str">
        <f>IF($A47="","",COUNTIFS(RawData[Date],$A47,RawData[Slot],17))</f>
        <v/>
      </c>
      <c r="U47" s="4" t="str">
        <f>IF($A47="","",COUNTIFS(RawData[Date],$A47,RawData[Slot],18))</f>
        <v/>
      </c>
      <c r="V47" s="4" t="str">
        <f>IF($A47="","",COUNTIFS(RawData[Date],$A47,RawData[Slot],19))</f>
        <v/>
      </c>
      <c r="W47" s="4" t="str">
        <f>IF($A47="","",COUNTIFS(RawData[Date],$A47,RawData[Slot],20))</f>
        <v/>
      </c>
      <c r="X47" s="4" t="str">
        <f>IF($A47="","",COUNTIFS(RawData[Date],$A47,RawData[Slot],21))</f>
        <v/>
      </c>
      <c r="Y47" s="4" t="str">
        <f>IF($A47="","",COUNTIFS(RawData[Date],$A47,RawData[Slot],22))</f>
        <v/>
      </c>
      <c r="Z47" s="4" t="str">
        <f>IF($A47="","",COUNTIFS(RawData[Date],$A47,RawData[Slot],23))</f>
        <v/>
      </c>
      <c r="AA47" s="4" t="str">
        <f>IF($A47="","",COUNTIFS(RawData[Date],$A47,RawData[Slot],24))</f>
        <v/>
      </c>
      <c r="AB47" s="4" t="str">
        <f>IF($A47="","",COUNTIFS(RawData[Date],$A47,RawData[Slot],25))</f>
        <v/>
      </c>
      <c r="AC47" s="4" t="str">
        <f>IF($A47="","",COUNTIFS(RawData[Date],$A47,RawData[Slot],26))</f>
        <v/>
      </c>
      <c r="AD47" s="4" t="str">
        <f>IF($A47="","",COUNTIFS(RawData[Date],$A47,RawData[Slot],27))</f>
        <v/>
      </c>
      <c r="AE47" s="4" t="str">
        <f>IF($A47="","",COUNTIFS(RawData[Date],$A47,RawData[Slot],28))</f>
        <v/>
      </c>
      <c r="AF47" s="4" t="str">
        <f>IF($A47="","",COUNTIFS(RawData[Date],$A47,RawData[Slot],29))</f>
        <v/>
      </c>
      <c r="AG47" s="4" t="str">
        <f>IF($A47="","",COUNTIFS(RawData[Date],$A47,RawData[Slot],30))</f>
        <v/>
      </c>
      <c r="AH47" s="4" t="str">
        <f>IF($A47="","",COUNTIFS(RawData[Date],$A47,RawData[Slot],31))</f>
        <v/>
      </c>
      <c r="AI47" s="4" t="str">
        <f>IF($A47="","",COUNTIFS(RawData[Date],$A47,RawData[Slot],32))</f>
        <v/>
      </c>
      <c r="AJ47" s="4" t="str">
        <f>IF($A47="","",COUNTIFS(RawData[Date],$A47,RawData[Slot],33))</f>
        <v/>
      </c>
      <c r="AK47" s="4" t="str">
        <f>IF($A47="","",COUNTIFS(RawData[Date],$A47,RawData[Slot],34))</f>
        <v/>
      </c>
      <c r="AL47" s="4" t="str">
        <f>IF($A47="","",COUNTIFS(RawData[Date],$A47,RawData[Slot],35))</f>
        <v/>
      </c>
      <c r="AM47" s="4" t="str">
        <f>IF($A47="","",COUNTIFS(RawData[Date],$A47,RawData[Slot],36))</f>
        <v/>
      </c>
      <c r="AN47" s="4" t="str">
        <f>IF($A47="","",COUNTIFS(RawData[Date],$A47,RawData[Slot],37))</f>
        <v/>
      </c>
      <c r="AO47" s="4" t="str">
        <f>IF($A47="","",COUNTIFS(RawData[Date],$A47,RawData[Slot],38))</f>
        <v/>
      </c>
      <c r="AP47" s="4" t="str">
        <f>IF($A47="","",COUNTIFS(RawData[Date],$A47,RawData[Slot],39))</f>
        <v/>
      </c>
      <c r="AQ47" s="4" t="str">
        <f>IF($A47="","",COUNTIFS(RawData[Date],$A47,RawData[Slot],40))</f>
        <v/>
      </c>
      <c r="AR47" s="4" t="str">
        <f>IF($A47="","",COUNTIFS(RawData[Date],$A47,RawData[Slot],41))</f>
        <v/>
      </c>
      <c r="AS47" s="4" t="str">
        <f>IF($A47="","",COUNTIFS(RawData[Date],$A47,RawData[Slot],42))</f>
        <v/>
      </c>
      <c r="AT47" s="4" t="str">
        <f>IF($A47="","",COUNTIFS(RawData[Date],$A47,RawData[Slot],43))</f>
        <v/>
      </c>
      <c r="AU47" s="4" t="str">
        <f>IF($A47="","",COUNTIFS(RawData[Date],$A47,RawData[Slot],44))</f>
        <v/>
      </c>
      <c r="AV47" s="4" t="str">
        <f>IF($A47="","",COUNTIFS(RawData[Date],$A47,RawData[Slot],45))</f>
        <v/>
      </c>
      <c r="AW47" s="4" t="str">
        <f>IF($A47="","",COUNTIFS(RawData[Date],$A47,RawData[Slot],46))</f>
        <v/>
      </c>
      <c r="AX47" s="4" t="str">
        <f>IF($A47="","",COUNTIFS(RawData[Date],$A47,RawData[Slot],47))</f>
        <v/>
      </c>
      <c r="AY47" s="4" t="str">
        <f t="shared" si="3"/>
        <v/>
      </c>
    </row>
    <row r="48" spans="1:51" x14ac:dyDescent="0.25">
      <c r="A48" s="7"/>
      <c r="B48" s="4" t="str">
        <f t="shared" si="2"/>
        <v/>
      </c>
      <c r="C48" s="4" t="str">
        <f>IF($A48="","",COUNTIFS(RawData[Date],$A48,RawData[Slot],0))</f>
        <v/>
      </c>
      <c r="D48" s="4" t="str">
        <f>IF($A48="","",COUNTIFS(RawData[Date],$A48,RawData[Slot],1))</f>
        <v/>
      </c>
      <c r="E48" s="4" t="str">
        <f>IF($A48="","",COUNTIFS(RawData[Date],$A48,RawData[Slot],2))</f>
        <v/>
      </c>
      <c r="F48" s="4" t="str">
        <f>IF($A48="","",COUNTIFS(RawData[Date],$A48,RawData[Slot],3))</f>
        <v/>
      </c>
      <c r="G48" s="4" t="str">
        <f>IF($A48="","",COUNTIFS(RawData[Date],$A48,RawData[Slot],4))</f>
        <v/>
      </c>
      <c r="H48" s="4" t="str">
        <f>IF($A48="","",COUNTIFS(RawData[Date],$A48,RawData[Slot],5))</f>
        <v/>
      </c>
      <c r="I48" s="4" t="str">
        <f>IF($A48="","",COUNTIFS(RawData[Date],$A48,RawData[Slot],6))</f>
        <v/>
      </c>
      <c r="J48" s="4" t="str">
        <f>IF($A48="","",COUNTIFS(RawData[Date],$A48,RawData[Slot],7))</f>
        <v/>
      </c>
      <c r="K48" s="4" t="str">
        <f>IF($A48="","",COUNTIFS(RawData[Date],$A48,RawData[Slot],8))</f>
        <v/>
      </c>
      <c r="L48" s="4" t="str">
        <f>IF($A48="","",COUNTIFS(RawData[Date],$A48,RawData[Slot],9))</f>
        <v/>
      </c>
      <c r="M48" s="4" t="str">
        <f>IF($A48="","",COUNTIFS(RawData[Date],$A48,RawData[Slot],10))</f>
        <v/>
      </c>
      <c r="N48" s="4" t="str">
        <f>IF($A48="","",COUNTIFS(RawData[Date],$A48,RawData[Slot],11))</f>
        <v/>
      </c>
      <c r="O48" s="4" t="str">
        <f>IF($A48="","",COUNTIFS(RawData[Date],$A48,RawData[Slot],12))</f>
        <v/>
      </c>
      <c r="P48" s="4" t="str">
        <f>IF($A48="","",COUNTIFS(RawData[Date],$A48,RawData[Slot],13))</f>
        <v/>
      </c>
      <c r="Q48" s="4" t="str">
        <f>IF($A48="","",COUNTIFS(RawData[Date],$A48,RawData[Slot],14))</f>
        <v/>
      </c>
      <c r="R48" s="4" t="str">
        <f>IF($A48="","",COUNTIFS(RawData[Date],$A48,RawData[Slot],15))</f>
        <v/>
      </c>
      <c r="S48" s="4" t="str">
        <f>IF($A48="","",COUNTIFS(RawData[Date],$A48,RawData[Slot],16))</f>
        <v/>
      </c>
      <c r="T48" s="4" t="str">
        <f>IF($A48="","",COUNTIFS(RawData[Date],$A48,RawData[Slot],17))</f>
        <v/>
      </c>
      <c r="U48" s="4" t="str">
        <f>IF($A48="","",COUNTIFS(RawData[Date],$A48,RawData[Slot],18))</f>
        <v/>
      </c>
      <c r="V48" s="4" t="str">
        <f>IF($A48="","",COUNTIFS(RawData[Date],$A48,RawData[Slot],19))</f>
        <v/>
      </c>
      <c r="W48" s="4" t="str">
        <f>IF($A48="","",COUNTIFS(RawData[Date],$A48,RawData[Slot],20))</f>
        <v/>
      </c>
      <c r="X48" s="4" t="str">
        <f>IF($A48="","",COUNTIFS(RawData[Date],$A48,RawData[Slot],21))</f>
        <v/>
      </c>
      <c r="Y48" s="4" t="str">
        <f>IF($A48="","",COUNTIFS(RawData[Date],$A48,RawData[Slot],22))</f>
        <v/>
      </c>
      <c r="Z48" s="4" t="str">
        <f>IF($A48="","",COUNTIFS(RawData[Date],$A48,RawData[Slot],23))</f>
        <v/>
      </c>
      <c r="AA48" s="4" t="str">
        <f>IF($A48="","",COUNTIFS(RawData[Date],$A48,RawData[Slot],24))</f>
        <v/>
      </c>
      <c r="AB48" s="4" t="str">
        <f>IF($A48="","",COUNTIFS(RawData[Date],$A48,RawData[Slot],25))</f>
        <v/>
      </c>
      <c r="AC48" s="4" t="str">
        <f>IF($A48="","",COUNTIFS(RawData[Date],$A48,RawData[Slot],26))</f>
        <v/>
      </c>
      <c r="AD48" s="4" t="str">
        <f>IF($A48="","",COUNTIFS(RawData[Date],$A48,RawData[Slot],27))</f>
        <v/>
      </c>
      <c r="AE48" s="4" t="str">
        <f>IF($A48="","",COUNTIFS(RawData[Date],$A48,RawData[Slot],28))</f>
        <v/>
      </c>
      <c r="AF48" s="4" t="str">
        <f>IF($A48="","",COUNTIFS(RawData[Date],$A48,RawData[Slot],29))</f>
        <v/>
      </c>
      <c r="AG48" s="4" t="str">
        <f>IF($A48="","",COUNTIFS(RawData[Date],$A48,RawData[Slot],30))</f>
        <v/>
      </c>
      <c r="AH48" s="4" t="str">
        <f>IF($A48="","",COUNTIFS(RawData[Date],$A48,RawData[Slot],31))</f>
        <v/>
      </c>
      <c r="AI48" s="4" t="str">
        <f>IF($A48="","",COUNTIFS(RawData[Date],$A48,RawData[Slot],32))</f>
        <v/>
      </c>
      <c r="AJ48" s="4" t="str">
        <f>IF($A48="","",COUNTIFS(RawData[Date],$A48,RawData[Slot],33))</f>
        <v/>
      </c>
      <c r="AK48" s="4" t="str">
        <f>IF($A48="","",COUNTIFS(RawData[Date],$A48,RawData[Slot],34))</f>
        <v/>
      </c>
      <c r="AL48" s="4" t="str">
        <f>IF($A48="","",COUNTIFS(RawData[Date],$A48,RawData[Slot],35))</f>
        <v/>
      </c>
      <c r="AM48" s="4" t="str">
        <f>IF($A48="","",COUNTIFS(RawData[Date],$A48,RawData[Slot],36))</f>
        <v/>
      </c>
      <c r="AN48" s="4" t="str">
        <f>IF($A48="","",COUNTIFS(RawData[Date],$A48,RawData[Slot],37))</f>
        <v/>
      </c>
      <c r="AO48" s="4" t="str">
        <f>IF($A48="","",COUNTIFS(RawData[Date],$A48,RawData[Slot],38))</f>
        <v/>
      </c>
      <c r="AP48" s="4" t="str">
        <f>IF($A48="","",COUNTIFS(RawData[Date],$A48,RawData[Slot],39))</f>
        <v/>
      </c>
      <c r="AQ48" s="4" t="str">
        <f>IF($A48="","",COUNTIFS(RawData[Date],$A48,RawData[Slot],40))</f>
        <v/>
      </c>
      <c r="AR48" s="4" t="str">
        <f>IF($A48="","",COUNTIFS(RawData[Date],$A48,RawData[Slot],41))</f>
        <v/>
      </c>
      <c r="AS48" s="4" t="str">
        <f>IF($A48="","",COUNTIFS(RawData[Date],$A48,RawData[Slot],42))</f>
        <v/>
      </c>
      <c r="AT48" s="4" t="str">
        <f>IF($A48="","",COUNTIFS(RawData[Date],$A48,RawData[Slot],43))</f>
        <v/>
      </c>
      <c r="AU48" s="4" t="str">
        <f>IF($A48="","",COUNTIFS(RawData[Date],$A48,RawData[Slot],44))</f>
        <v/>
      </c>
      <c r="AV48" s="4" t="str">
        <f>IF($A48="","",COUNTIFS(RawData[Date],$A48,RawData[Slot],45))</f>
        <v/>
      </c>
      <c r="AW48" s="4" t="str">
        <f>IF($A48="","",COUNTIFS(RawData[Date],$A48,RawData[Slot],46))</f>
        <v/>
      </c>
      <c r="AX48" s="4" t="str">
        <f>IF($A48="","",COUNTIFS(RawData[Date],$A48,RawData[Slot],47))</f>
        <v/>
      </c>
      <c r="AY48" s="4" t="str">
        <f t="shared" si="3"/>
        <v/>
      </c>
    </row>
    <row r="49" spans="1:51" x14ac:dyDescent="0.25">
      <c r="A49" s="7"/>
      <c r="B49" s="4" t="str">
        <f t="shared" si="2"/>
        <v/>
      </c>
      <c r="C49" s="4" t="str">
        <f>IF($A49="","",COUNTIFS(RawData[Date],$A49,RawData[Slot],0))</f>
        <v/>
      </c>
      <c r="D49" s="4" t="str">
        <f>IF($A49="","",COUNTIFS(RawData[Date],$A49,RawData[Slot],1))</f>
        <v/>
      </c>
      <c r="E49" s="4" t="str">
        <f>IF($A49="","",COUNTIFS(RawData[Date],$A49,RawData[Slot],2))</f>
        <v/>
      </c>
      <c r="F49" s="4" t="str">
        <f>IF($A49="","",COUNTIFS(RawData[Date],$A49,RawData[Slot],3))</f>
        <v/>
      </c>
      <c r="G49" s="4" t="str">
        <f>IF($A49="","",COUNTIFS(RawData[Date],$A49,RawData[Slot],4))</f>
        <v/>
      </c>
      <c r="H49" s="4" t="str">
        <f>IF($A49="","",COUNTIFS(RawData[Date],$A49,RawData[Slot],5))</f>
        <v/>
      </c>
      <c r="I49" s="4" t="str">
        <f>IF($A49="","",COUNTIFS(RawData[Date],$A49,RawData[Slot],6))</f>
        <v/>
      </c>
      <c r="J49" s="4" t="str">
        <f>IF($A49="","",COUNTIFS(RawData[Date],$A49,RawData[Slot],7))</f>
        <v/>
      </c>
      <c r="K49" s="4" t="str">
        <f>IF($A49="","",COUNTIFS(RawData[Date],$A49,RawData[Slot],8))</f>
        <v/>
      </c>
      <c r="L49" s="4" t="str">
        <f>IF($A49="","",COUNTIFS(RawData[Date],$A49,RawData[Slot],9))</f>
        <v/>
      </c>
      <c r="M49" s="4" t="str">
        <f>IF($A49="","",COUNTIFS(RawData[Date],$A49,RawData[Slot],10))</f>
        <v/>
      </c>
      <c r="N49" s="4" t="str">
        <f>IF($A49="","",COUNTIFS(RawData[Date],$A49,RawData[Slot],11))</f>
        <v/>
      </c>
      <c r="O49" s="4" t="str">
        <f>IF($A49="","",COUNTIFS(RawData[Date],$A49,RawData[Slot],12))</f>
        <v/>
      </c>
      <c r="P49" s="4" t="str">
        <f>IF($A49="","",COUNTIFS(RawData[Date],$A49,RawData[Slot],13))</f>
        <v/>
      </c>
      <c r="Q49" s="4" t="str">
        <f>IF($A49="","",COUNTIFS(RawData[Date],$A49,RawData[Slot],14))</f>
        <v/>
      </c>
      <c r="R49" s="4" t="str">
        <f>IF($A49="","",COUNTIFS(RawData[Date],$A49,RawData[Slot],15))</f>
        <v/>
      </c>
      <c r="S49" s="4" t="str">
        <f>IF($A49="","",COUNTIFS(RawData[Date],$A49,RawData[Slot],16))</f>
        <v/>
      </c>
      <c r="T49" s="4" t="str">
        <f>IF($A49="","",COUNTIFS(RawData[Date],$A49,RawData[Slot],17))</f>
        <v/>
      </c>
      <c r="U49" s="4" t="str">
        <f>IF($A49="","",COUNTIFS(RawData[Date],$A49,RawData[Slot],18))</f>
        <v/>
      </c>
      <c r="V49" s="4" t="str">
        <f>IF($A49="","",COUNTIFS(RawData[Date],$A49,RawData[Slot],19))</f>
        <v/>
      </c>
      <c r="W49" s="4" t="str">
        <f>IF($A49="","",COUNTIFS(RawData[Date],$A49,RawData[Slot],20))</f>
        <v/>
      </c>
      <c r="X49" s="4" t="str">
        <f>IF($A49="","",COUNTIFS(RawData[Date],$A49,RawData[Slot],21))</f>
        <v/>
      </c>
      <c r="Y49" s="4" t="str">
        <f>IF($A49="","",COUNTIFS(RawData[Date],$A49,RawData[Slot],22))</f>
        <v/>
      </c>
      <c r="Z49" s="4" t="str">
        <f>IF($A49="","",COUNTIFS(RawData[Date],$A49,RawData[Slot],23))</f>
        <v/>
      </c>
      <c r="AA49" s="4" t="str">
        <f>IF($A49="","",COUNTIFS(RawData[Date],$A49,RawData[Slot],24))</f>
        <v/>
      </c>
      <c r="AB49" s="4" t="str">
        <f>IF($A49="","",COUNTIFS(RawData[Date],$A49,RawData[Slot],25))</f>
        <v/>
      </c>
      <c r="AC49" s="4" t="str">
        <f>IF($A49="","",COUNTIFS(RawData[Date],$A49,RawData[Slot],26))</f>
        <v/>
      </c>
      <c r="AD49" s="4" t="str">
        <f>IF($A49="","",COUNTIFS(RawData[Date],$A49,RawData[Slot],27))</f>
        <v/>
      </c>
      <c r="AE49" s="4" t="str">
        <f>IF($A49="","",COUNTIFS(RawData[Date],$A49,RawData[Slot],28))</f>
        <v/>
      </c>
      <c r="AF49" s="4" t="str">
        <f>IF($A49="","",COUNTIFS(RawData[Date],$A49,RawData[Slot],29))</f>
        <v/>
      </c>
      <c r="AG49" s="4" t="str">
        <f>IF($A49="","",COUNTIFS(RawData[Date],$A49,RawData[Slot],30))</f>
        <v/>
      </c>
      <c r="AH49" s="4" t="str">
        <f>IF($A49="","",COUNTIFS(RawData[Date],$A49,RawData[Slot],31))</f>
        <v/>
      </c>
      <c r="AI49" s="4" t="str">
        <f>IF($A49="","",COUNTIFS(RawData[Date],$A49,RawData[Slot],32))</f>
        <v/>
      </c>
      <c r="AJ49" s="4" t="str">
        <f>IF($A49="","",COUNTIFS(RawData[Date],$A49,RawData[Slot],33))</f>
        <v/>
      </c>
      <c r="AK49" s="4" t="str">
        <f>IF($A49="","",COUNTIFS(RawData[Date],$A49,RawData[Slot],34))</f>
        <v/>
      </c>
      <c r="AL49" s="4" t="str">
        <f>IF($A49="","",COUNTIFS(RawData[Date],$A49,RawData[Slot],35))</f>
        <v/>
      </c>
      <c r="AM49" s="4" t="str">
        <f>IF($A49="","",COUNTIFS(RawData[Date],$A49,RawData[Slot],36))</f>
        <v/>
      </c>
      <c r="AN49" s="4" t="str">
        <f>IF($A49="","",COUNTIFS(RawData[Date],$A49,RawData[Slot],37))</f>
        <v/>
      </c>
      <c r="AO49" s="4" t="str">
        <f>IF($A49="","",COUNTIFS(RawData[Date],$A49,RawData[Slot],38))</f>
        <v/>
      </c>
      <c r="AP49" s="4" t="str">
        <f>IF($A49="","",COUNTIFS(RawData[Date],$A49,RawData[Slot],39))</f>
        <v/>
      </c>
      <c r="AQ49" s="4" t="str">
        <f>IF($A49="","",COUNTIFS(RawData[Date],$A49,RawData[Slot],40))</f>
        <v/>
      </c>
      <c r="AR49" s="4" t="str">
        <f>IF($A49="","",COUNTIFS(RawData[Date],$A49,RawData[Slot],41))</f>
        <v/>
      </c>
      <c r="AS49" s="4" t="str">
        <f>IF($A49="","",COUNTIFS(RawData[Date],$A49,RawData[Slot],42))</f>
        <v/>
      </c>
      <c r="AT49" s="4" t="str">
        <f>IF($A49="","",COUNTIFS(RawData[Date],$A49,RawData[Slot],43))</f>
        <v/>
      </c>
      <c r="AU49" s="4" t="str">
        <f>IF($A49="","",COUNTIFS(RawData[Date],$A49,RawData[Slot],44))</f>
        <v/>
      </c>
      <c r="AV49" s="4" t="str">
        <f>IF($A49="","",COUNTIFS(RawData[Date],$A49,RawData[Slot],45))</f>
        <v/>
      </c>
      <c r="AW49" s="4" t="str">
        <f>IF($A49="","",COUNTIFS(RawData[Date],$A49,RawData[Slot],46))</f>
        <v/>
      </c>
      <c r="AX49" s="4" t="str">
        <f>IF($A49="","",COUNTIFS(RawData[Date],$A49,RawData[Slot],47))</f>
        <v/>
      </c>
      <c r="AY49" s="4" t="str">
        <f t="shared" si="3"/>
        <v/>
      </c>
    </row>
    <row r="50" spans="1:51" x14ac:dyDescent="0.25">
      <c r="A50" s="7"/>
      <c r="B50" s="4" t="str">
        <f t="shared" si="2"/>
        <v/>
      </c>
      <c r="C50" s="4" t="str">
        <f>IF($A50="","",COUNTIFS(RawData[Date],$A50,RawData[Slot],0))</f>
        <v/>
      </c>
      <c r="D50" s="4" t="str">
        <f>IF($A50="","",COUNTIFS(RawData[Date],$A50,RawData[Slot],1))</f>
        <v/>
      </c>
      <c r="E50" s="4" t="str">
        <f>IF($A50="","",COUNTIFS(RawData[Date],$A50,RawData[Slot],2))</f>
        <v/>
      </c>
      <c r="F50" s="4" t="str">
        <f>IF($A50="","",COUNTIFS(RawData[Date],$A50,RawData[Slot],3))</f>
        <v/>
      </c>
      <c r="G50" s="4" t="str">
        <f>IF($A50="","",COUNTIFS(RawData[Date],$A50,RawData[Slot],4))</f>
        <v/>
      </c>
      <c r="H50" s="4" t="str">
        <f>IF($A50="","",COUNTIFS(RawData[Date],$A50,RawData[Slot],5))</f>
        <v/>
      </c>
      <c r="I50" s="4" t="str">
        <f>IF($A50="","",COUNTIFS(RawData[Date],$A50,RawData[Slot],6))</f>
        <v/>
      </c>
      <c r="J50" s="4" t="str">
        <f>IF($A50="","",COUNTIFS(RawData[Date],$A50,RawData[Slot],7))</f>
        <v/>
      </c>
      <c r="K50" s="4" t="str">
        <f>IF($A50="","",COUNTIFS(RawData[Date],$A50,RawData[Slot],8))</f>
        <v/>
      </c>
      <c r="L50" s="4" t="str">
        <f>IF($A50="","",COUNTIFS(RawData[Date],$A50,RawData[Slot],9))</f>
        <v/>
      </c>
      <c r="M50" s="4" t="str">
        <f>IF($A50="","",COUNTIFS(RawData[Date],$A50,RawData[Slot],10))</f>
        <v/>
      </c>
      <c r="N50" s="4" t="str">
        <f>IF($A50="","",COUNTIFS(RawData[Date],$A50,RawData[Slot],11))</f>
        <v/>
      </c>
      <c r="O50" s="4" t="str">
        <f>IF($A50="","",COUNTIFS(RawData[Date],$A50,RawData[Slot],12))</f>
        <v/>
      </c>
      <c r="P50" s="4" t="str">
        <f>IF($A50="","",COUNTIFS(RawData[Date],$A50,RawData[Slot],13))</f>
        <v/>
      </c>
      <c r="Q50" s="4" t="str">
        <f>IF($A50="","",COUNTIFS(RawData[Date],$A50,RawData[Slot],14))</f>
        <v/>
      </c>
      <c r="R50" s="4" t="str">
        <f>IF($A50="","",COUNTIFS(RawData[Date],$A50,RawData[Slot],15))</f>
        <v/>
      </c>
      <c r="S50" s="4" t="str">
        <f>IF($A50="","",COUNTIFS(RawData[Date],$A50,RawData[Slot],16))</f>
        <v/>
      </c>
      <c r="T50" s="4" t="str">
        <f>IF($A50="","",COUNTIFS(RawData[Date],$A50,RawData[Slot],17))</f>
        <v/>
      </c>
      <c r="U50" s="4" t="str">
        <f>IF($A50="","",COUNTIFS(RawData[Date],$A50,RawData[Slot],18))</f>
        <v/>
      </c>
      <c r="V50" s="4" t="str">
        <f>IF($A50="","",COUNTIFS(RawData[Date],$A50,RawData[Slot],19))</f>
        <v/>
      </c>
      <c r="W50" s="4" t="str">
        <f>IF($A50="","",COUNTIFS(RawData[Date],$A50,RawData[Slot],20))</f>
        <v/>
      </c>
      <c r="X50" s="4" t="str">
        <f>IF($A50="","",COUNTIFS(RawData[Date],$A50,RawData[Slot],21))</f>
        <v/>
      </c>
      <c r="Y50" s="4" t="str">
        <f>IF($A50="","",COUNTIFS(RawData[Date],$A50,RawData[Slot],22))</f>
        <v/>
      </c>
      <c r="Z50" s="4" t="str">
        <f>IF($A50="","",COUNTIFS(RawData[Date],$A50,RawData[Slot],23))</f>
        <v/>
      </c>
      <c r="AA50" s="4" t="str">
        <f>IF($A50="","",COUNTIFS(RawData[Date],$A50,RawData[Slot],24))</f>
        <v/>
      </c>
      <c r="AB50" s="4" t="str">
        <f>IF($A50="","",COUNTIFS(RawData[Date],$A50,RawData[Slot],25))</f>
        <v/>
      </c>
      <c r="AC50" s="4" t="str">
        <f>IF($A50="","",COUNTIFS(RawData[Date],$A50,RawData[Slot],26))</f>
        <v/>
      </c>
      <c r="AD50" s="4" t="str">
        <f>IF($A50="","",COUNTIFS(RawData[Date],$A50,RawData[Slot],27))</f>
        <v/>
      </c>
      <c r="AE50" s="4" t="str">
        <f>IF($A50="","",COUNTIFS(RawData[Date],$A50,RawData[Slot],28))</f>
        <v/>
      </c>
      <c r="AF50" s="4" t="str">
        <f>IF($A50="","",COUNTIFS(RawData[Date],$A50,RawData[Slot],29))</f>
        <v/>
      </c>
      <c r="AG50" s="4" t="str">
        <f>IF($A50="","",COUNTIFS(RawData[Date],$A50,RawData[Slot],30))</f>
        <v/>
      </c>
      <c r="AH50" s="4" t="str">
        <f>IF($A50="","",COUNTIFS(RawData[Date],$A50,RawData[Slot],31))</f>
        <v/>
      </c>
      <c r="AI50" s="4" t="str">
        <f>IF($A50="","",COUNTIFS(RawData[Date],$A50,RawData[Slot],32))</f>
        <v/>
      </c>
      <c r="AJ50" s="4" t="str">
        <f>IF($A50="","",COUNTIFS(RawData[Date],$A50,RawData[Slot],33))</f>
        <v/>
      </c>
      <c r="AK50" s="4" t="str">
        <f>IF($A50="","",COUNTIFS(RawData[Date],$A50,RawData[Slot],34))</f>
        <v/>
      </c>
      <c r="AL50" s="4" t="str">
        <f>IF($A50="","",COUNTIFS(RawData[Date],$A50,RawData[Slot],35))</f>
        <v/>
      </c>
      <c r="AM50" s="4" t="str">
        <f>IF($A50="","",COUNTIFS(RawData[Date],$A50,RawData[Slot],36))</f>
        <v/>
      </c>
      <c r="AN50" s="4" t="str">
        <f>IF($A50="","",COUNTIFS(RawData[Date],$A50,RawData[Slot],37))</f>
        <v/>
      </c>
      <c r="AO50" s="4" t="str">
        <f>IF($A50="","",COUNTIFS(RawData[Date],$A50,RawData[Slot],38))</f>
        <v/>
      </c>
      <c r="AP50" s="4" t="str">
        <f>IF($A50="","",COUNTIFS(RawData[Date],$A50,RawData[Slot],39))</f>
        <v/>
      </c>
      <c r="AQ50" s="4" t="str">
        <f>IF($A50="","",COUNTIFS(RawData[Date],$A50,RawData[Slot],40))</f>
        <v/>
      </c>
      <c r="AR50" s="4" t="str">
        <f>IF($A50="","",COUNTIFS(RawData[Date],$A50,RawData[Slot],41))</f>
        <v/>
      </c>
      <c r="AS50" s="4" t="str">
        <f>IF($A50="","",COUNTIFS(RawData[Date],$A50,RawData[Slot],42))</f>
        <v/>
      </c>
      <c r="AT50" s="4" t="str">
        <f>IF($A50="","",COUNTIFS(RawData[Date],$A50,RawData[Slot],43))</f>
        <v/>
      </c>
      <c r="AU50" s="4" t="str">
        <f>IF($A50="","",COUNTIFS(RawData[Date],$A50,RawData[Slot],44))</f>
        <v/>
      </c>
      <c r="AV50" s="4" t="str">
        <f>IF($A50="","",COUNTIFS(RawData[Date],$A50,RawData[Slot],45))</f>
        <v/>
      </c>
      <c r="AW50" s="4" t="str">
        <f>IF($A50="","",COUNTIFS(RawData[Date],$A50,RawData[Slot],46))</f>
        <v/>
      </c>
      <c r="AX50" s="4" t="str">
        <f>IF($A50="","",COUNTIFS(RawData[Date],$A50,RawData[Slot],47))</f>
        <v/>
      </c>
      <c r="AY50" s="4" t="str">
        <f t="shared" si="3"/>
        <v/>
      </c>
    </row>
    <row r="51" spans="1:51" x14ac:dyDescent="0.25">
      <c r="A51" s="7"/>
      <c r="B51" s="4" t="str">
        <f t="shared" si="2"/>
        <v/>
      </c>
      <c r="C51" s="4" t="str">
        <f>IF($A51="","",COUNTIFS(RawData[Date],$A51,RawData[Slot],0))</f>
        <v/>
      </c>
      <c r="D51" s="4" t="str">
        <f>IF($A51="","",COUNTIFS(RawData[Date],$A51,RawData[Slot],1))</f>
        <v/>
      </c>
      <c r="E51" s="4" t="str">
        <f>IF($A51="","",COUNTIFS(RawData[Date],$A51,RawData[Slot],2))</f>
        <v/>
      </c>
      <c r="F51" s="4" t="str">
        <f>IF($A51="","",COUNTIFS(RawData[Date],$A51,RawData[Slot],3))</f>
        <v/>
      </c>
      <c r="G51" s="4" t="str">
        <f>IF($A51="","",COUNTIFS(RawData[Date],$A51,RawData[Slot],4))</f>
        <v/>
      </c>
      <c r="H51" s="4" t="str">
        <f>IF($A51="","",COUNTIFS(RawData[Date],$A51,RawData[Slot],5))</f>
        <v/>
      </c>
      <c r="I51" s="4" t="str">
        <f>IF($A51="","",COUNTIFS(RawData[Date],$A51,RawData[Slot],6))</f>
        <v/>
      </c>
      <c r="J51" s="4" t="str">
        <f>IF($A51="","",COUNTIFS(RawData[Date],$A51,RawData[Slot],7))</f>
        <v/>
      </c>
      <c r="K51" s="4" t="str">
        <f>IF($A51="","",COUNTIFS(RawData[Date],$A51,RawData[Slot],8))</f>
        <v/>
      </c>
      <c r="L51" s="4" t="str">
        <f>IF($A51="","",COUNTIFS(RawData[Date],$A51,RawData[Slot],9))</f>
        <v/>
      </c>
      <c r="M51" s="4" t="str">
        <f>IF($A51="","",COUNTIFS(RawData[Date],$A51,RawData[Slot],10))</f>
        <v/>
      </c>
      <c r="N51" s="4" t="str">
        <f>IF($A51="","",COUNTIFS(RawData[Date],$A51,RawData[Slot],11))</f>
        <v/>
      </c>
      <c r="O51" s="4" t="str">
        <f>IF($A51="","",COUNTIFS(RawData[Date],$A51,RawData[Slot],12))</f>
        <v/>
      </c>
      <c r="P51" s="4" t="str">
        <f>IF($A51="","",COUNTIFS(RawData[Date],$A51,RawData[Slot],13))</f>
        <v/>
      </c>
      <c r="Q51" s="4" t="str">
        <f>IF($A51="","",COUNTIFS(RawData[Date],$A51,RawData[Slot],14))</f>
        <v/>
      </c>
      <c r="R51" s="4" t="str">
        <f>IF($A51="","",COUNTIFS(RawData[Date],$A51,RawData[Slot],15))</f>
        <v/>
      </c>
      <c r="S51" s="4" t="str">
        <f>IF($A51="","",COUNTIFS(RawData[Date],$A51,RawData[Slot],16))</f>
        <v/>
      </c>
      <c r="T51" s="4" t="str">
        <f>IF($A51="","",COUNTIFS(RawData[Date],$A51,RawData[Slot],17))</f>
        <v/>
      </c>
      <c r="U51" s="4" t="str">
        <f>IF($A51="","",COUNTIFS(RawData[Date],$A51,RawData[Slot],18))</f>
        <v/>
      </c>
      <c r="V51" s="4" t="str">
        <f>IF($A51="","",COUNTIFS(RawData[Date],$A51,RawData[Slot],19))</f>
        <v/>
      </c>
      <c r="W51" s="4" t="str">
        <f>IF($A51="","",COUNTIFS(RawData[Date],$A51,RawData[Slot],20))</f>
        <v/>
      </c>
      <c r="X51" s="4" t="str">
        <f>IF($A51="","",COUNTIFS(RawData[Date],$A51,RawData[Slot],21))</f>
        <v/>
      </c>
      <c r="Y51" s="4" t="str">
        <f>IF($A51="","",COUNTIFS(RawData[Date],$A51,RawData[Slot],22))</f>
        <v/>
      </c>
      <c r="Z51" s="4" t="str">
        <f>IF($A51="","",COUNTIFS(RawData[Date],$A51,RawData[Slot],23))</f>
        <v/>
      </c>
      <c r="AA51" s="4" t="str">
        <f>IF($A51="","",COUNTIFS(RawData[Date],$A51,RawData[Slot],24))</f>
        <v/>
      </c>
      <c r="AB51" s="4" t="str">
        <f>IF($A51="","",COUNTIFS(RawData[Date],$A51,RawData[Slot],25))</f>
        <v/>
      </c>
      <c r="AC51" s="4" t="str">
        <f>IF($A51="","",COUNTIFS(RawData[Date],$A51,RawData[Slot],26))</f>
        <v/>
      </c>
      <c r="AD51" s="4" t="str">
        <f>IF($A51="","",COUNTIFS(RawData[Date],$A51,RawData[Slot],27))</f>
        <v/>
      </c>
      <c r="AE51" s="4" t="str">
        <f>IF($A51="","",COUNTIFS(RawData[Date],$A51,RawData[Slot],28))</f>
        <v/>
      </c>
      <c r="AF51" s="4" t="str">
        <f>IF($A51="","",COUNTIFS(RawData[Date],$A51,RawData[Slot],29))</f>
        <v/>
      </c>
      <c r="AG51" s="4" t="str">
        <f>IF($A51="","",COUNTIFS(RawData[Date],$A51,RawData[Slot],30))</f>
        <v/>
      </c>
      <c r="AH51" s="4" t="str">
        <f>IF($A51="","",COUNTIFS(RawData[Date],$A51,RawData[Slot],31))</f>
        <v/>
      </c>
      <c r="AI51" s="4" t="str">
        <f>IF($A51="","",COUNTIFS(RawData[Date],$A51,RawData[Slot],32))</f>
        <v/>
      </c>
      <c r="AJ51" s="4" t="str">
        <f>IF($A51="","",COUNTIFS(RawData[Date],$A51,RawData[Slot],33))</f>
        <v/>
      </c>
      <c r="AK51" s="4" t="str">
        <f>IF($A51="","",COUNTIFS(RawData[Date],$A51,RawData[Slot],34))</f>
        <v/>
      </c>
      <c r="AL51" s="4" t="str">
        <f>IF($A51="","",COUNTIFS(RawData[Date],$A51,RawData[Slot],35))</f>
        <v/>
      </c>
      <c r="AM51" s="4" t="str">
        <f>IF($A51="","",COUNTIFS(RawData[Date],$A51,RawData[Slot],36))</f>
        <v/>
      </c>
      <c r="AN51" s="4" t="str">
        <f>IF($A51="","",COUNTIFS(RawData[Date],$A51,RawData[Slot],37))</f>
        <v/>
      </c>
      <c r="AO51" s="4" t="str">
        <f>IF($A51="","",COUNTIFS(RawData[Date],$A51,RawData[Slot],38))</f>
        <v/>
      </c>
      <c r="AP51" s="4" t="str">
        <f>IF($A51="","",COUNTIFS(RawData[Date],$A51,RawData[Slot],39))</f>
        <v/>
      </c>
      <c r="AQ51" s="4" t="str">
        <f>IF($A51="","",COUNTIFS(RawData[Date],$A51,RawData[Slot],40))</f>
        <v/>
      </c>
      <c r="AR51" s="4" t="str">
        <f>IF($A51="","",COUNTIFS(RawData[Date],$A51,RawData[Slot],41))</f>
        <v/>
      </c>
      <c r="AS51" s="4" t="str">
        <f>IF($A51="","",COUNTIFS(RawData[Date],$A51,RawData[Slot],42))</f>
        <v/>
      </c>
      <c r="AT51" s="4" t="str">
        <f>IF($A51="","",COUNTIFS(RawData[Date],$A51,RawData[Slot],43))</f>
        <v/>
      </c>
      <c r="AU51" s="4" t="str">
        <f>IF($A51="","",COUNTIFS(RawData[Date],$A51,RawData[Slot],44))</f>
        <v/>
      </c>
      <c r="AV51" s="4" t="str">
        <f>IF($A51="","",COUNTIFS(RawData[Date],$A51,RawData[Slot],45))</f>
        <v/>
      </c>
      <c r="AW51" s="4" t="str">
        <f>IF($A51="","",COUNTIFS(RawData[Date],$A51,RawData[Slot],46))</f>
        <v/>
      </c>
      <c r="AX51" s="4" t="str">
        <f>IF($A51="","",COUNTIFS(RawData[Date],$A51,RawData[Slot],47))</f>
        <v/>
      </c>
      <c r="AY51" s="4" t="str">
        <f t="shared" si="3"/>
        <v/>
      </c>
    </row>
    <row r="52" spans="1:51" x14ac:dyDescent="0.25">
      <c r="A52" s="7"/>
      <c r="B52" s="4" t="str">
        <f t="shared" si="2"/>
        <v/>
      </c>
      <c r="C52" s="4" t="str">
        <f>IF($A52="","",COUNTIFS(RawData[Date],$A52,RawData[Slot],0))</f>
        <v/>
      </c>
      <c r="D52" s="4" t="str">
        <f>IF($A52="","",COUNTIFS(RawData[Date],$A52,RawData[Slot],1))</f>
        <v/>
      </c>
      <c r="E52" s="4" t="str">
        <f>IF($A52="","",COUNTIFS(RawData[Date],$A52,RawData[Slot],2))</f>
        <v/>
      </c>
      <c r="F52" s="4" t="str">
        <f>IF($A52="","",COUNTIFS(RawData[Date],$A52,RawData[Slot],3))</f>
        <v/>
      </c>
      <c r="G52" s="4" t="str">
        <f>IF($A52="","",COUNTIFS(RawData[Date],$A52,RawData[Slot],4))</f>
        <v/>
      </c>
      <c r="H52" s="4" t="str">
        <f>IF($A52="","",COUNTIFS(RawData[Date],$A52,RawData[Slot],5))</f>
        <v/>
      </c>
      <c r="I52" s="4" t="str">
        <f>IF($A52="","",COUNTIFS(RawData[Date],$A52,RawData[Slot],6))</f>
        <v/>
      </c>
      <c r="J52" s="4" t="str">
        <f>IF($A52="","",COUNTIFS(RawData[Date],$A52,RawData[Slot],7))</f>
        <v/>
      </c>
      <c r="K52" s="4" t="str">
        <f>IF($A52="","",COUNTIFS(RawData[Date],$A52,RawData[Slot],8))</f>
        <v/>
      </c>
      <c r="L52" s="4" t="str">
        <f>IF($A52="","",COUNTIFS(RawData[Date],$A52,RawData[Slot],9))</f>
        <v/>
      </c>
      <c r="M52" s="4" t="str">
        <f>IF($A52="","",COUNTIFS(RawData[Date],$A52,RawData[Slot],10))</f>
        <v/>
      </c>
      <c r="N52" s="4" t="str">
        <f>IF($A52="","",COUNTIFS(RawData[Date],$A52,RawData[Slot],11))</f>
        <v/>
      </c>
      <c r="O52" s="4" t="str">
        <f>IF($A52="","",COUNTIFS(RawData[Date],$A52,RawData[Slot],12))</f>
        <v/>
      </c>
      <c r="P52" s="4" t="str">
        <f>IF($A52="","",COUNTIFS(RawData[Date],$A52,RawData[Slot],13))</f>
        <v/>
      </c>
      <c r="Q52" s="4" t="str">
        <f>IF($A52="","",COUNTIFS(RawData[Date],$A52,RawData[Slot],14))</f>
        <v/>
      </c>
      <c r="R52" s="4" t="str">
        <f>IF($A52="","",COUNTIFS(RawData[Date],$A52,RawData[Slot],15))</f>
        <v/>
      </c>
      <c r="S52" s="4" t="str">
        <f>IF($A52="","",COUNTIFS(RawData[Date],$A52,RawData[Slot],16))</f>
        <v/>
      </c>
      <c r="T52" s="4" t="str">
        <f>IF($A52="","",COUNTIFS(RawData[Date],$A52,RawData[Slot],17))</f>
        <v/>
      </c>
      <c r="U52" s="4" t="str">
        <f>IF($A52="","",COUNTIFS(RawData[Date],$A52,RawData[Slot],18))</f>
        <v/>
      </c>
      <c r="V52" s="4" t="str">
        <f>IF($A52="","",COUNTIFS(RawData[Date],$A52,RawData[Slot],19))</f>
        <v/>
      </c>
      <c r="W52" s="4" t="str">
        <f>IF($A52="","",COUNTIFS(RawData[Date],$A52,RawData[Slot],20))</f>
        <v/>
      </c>
      <c r="X52" s="4" t="str">
        <f>IF($A52="","",COUNTIFS(RawData[Date],$A52,RawData[Slot],21))</f>
        <v/>
      </c>
      <c r="Y52" s="4" t="str">
        <f>IF($A52="","",COUNTIFS(RawData[Date],$A52,RawData[Slot],22))</f>
        <v/>
      </c>
      <c r="Z52" s="4" t="str">
        <f>IF($A52="","",COUNTIFS(RawData[Date],$A52,RawData[Slot],23))</f>
        <v/>
      </c>
      <c r="AA52" s="4" t="str">
        <f>IF($A52="","",COUNTIFS(RawData[Date],$A52,RawData[Slot],24))</f>
        <v/>
      </c>
      <c r="AB52" s="4" t="str">
        <f>IF($A52="","",COUNTIFS(RawData[Date],$A52,RawData[Slot],25))</f>
        <v/>
      </c>
      <c r="AC52" s="4" t="str">
        <f>IF($A52="","",COUNTIFS(RawData[Date],$A52,RawData[Slot],26))</f>
        <v/>
      </c>
      <c r="AD52" s="4" t="str">
        <f>IF($A52="","",COUNTIFS(RawData[Date],$A52,RawData[Slot],27))</f>
        <v/>
      </c>
      <c r="AE52" s="4" t="str">
        <f>IF($A52="","",COUNTIFS(RawData[Date],$A52,RawData[Slot],28))</f>
        <v/>
      </c>
      <c r="AF52" s="4" t="str">
        <f>IF($A52="","",COUNTIFS(RawData[Date],$A52,RawData[Slot],29))</f>
        <v/>
      </c>
      <c r="AG52" s="4" t="str">
        <f>IF($A52="","",COUNTIFS(RawData[Date],$A52,RawData[Slot],30))</f>
        <v/>
      </c>
      <c r="AH52" s="4" t="str">
        <f>IF($A52="","",COUNTIFS(RawData[Date],$A52,RawData[Slot],31))</f>
        <v/>
      </c>
      <c r="AI52" s="4" t="str">
        <f>IF($A52="","",COUNTIFS(RawData[Date],$A52,RawData[Slot],32))</f>
        <v/>
      </c>
      <c r="AJ52" s="4" t="str">
        <f>IF($A52="","",COUNTIFS(RawData[Date],$A52,RawData[Slot],33))</f>
        <v/>
      </c>
      <c r="AK52" s="4" t="str">
        <f>IF($A52="","",COUNTIFS(RawData[Date],$A52,RawData[Slot],34))</f>
        <v/>
      </c>
      <c r="AL52" s="4" t="str">
        <f>IF($A52="","",COUNTIFS(RawData[Date],$A52,RawData[Slot],35))</f>
        <v/>
      </c>
      <c r="AM52" s="4" t="str">
        <f>IF($A52="","",COUNTIFS(RawData[Date],$A52,RawData[Slot],36))</f>
        <v/>
      </c>
      <c r="AN52" s="4" t="str">
        <f>IF($A52="","",COUNTIFS(RawData[Date],$A52,RawData[Slot],37))</f>
        <v/>
      </c>
      <c r="AO52" s="4" t="str">
        <f>IF($A52="","",COUNTIFS(RawData[Date],$A52,RawData[Slot],38))</f>
        <v/>
      </c>
      <c r="AP52" s="4" t="str">
        <f>IF($A52="","",COUNTIFS(RawData[Date],$A52,RawData[Slot],39))</f>
        <v/>
      </c>
      <c r="AQ52" s="4" t="str">
        <f>IF($A52="","",COUNTIFS(RawData[Date],$A52,RawData[Slot],40))</f>
        <v/>
      </c>
      <c r="AR52" s="4" t="str">
        <f>IF($A52="","",COUNTIFS(RawData[Date],$A52,RawData[Slot],41))</f>
        <v/>
      </c>
      <c r="AS52" s="4" t="str">
        <f>IF($A52="","",COUNTIFS(RawData[Date],$A52,RawData[Slot],42))</f>
        <v/>
      </c>
      <c r="AT52" s="4" t="str">
        <f>IF($A52="","",COUNTIFS(RawData[Date],$A52,RawData[Slot],43))</f>
        <v/>
      </c>
      <c r="AU52" s="4" t="str">
        <f>IF($A52="","",COUNTIFS(RawData[Date],$A52,RawData[Slot],44))</f>
        <v/>
      </c>
      <c r="AV52" s="4" t="str">
        <f>IF($A52="","",COUNTIFS(RawData[Date],$A52,RawData[Slot],45))</f>
        <v/>
      </c>
      <c r="AW52" s="4" t="str">
        <f>IF($A52="","",COUNTIFS(RawData[Date],$A52,RawData[Slot],46))</f>
        <v/>
      </c>
      <c r="AX52" s="4" t="str">
        <f>IF($A52="","",COUNTIFS(RawData[Date],$A52,RawData[Slot],47))</f>
        <v/>
      </c>
      <c r="AY52" s="4" t="str">
        <f t="shared" si="3"/>
        <v/>
      </c>
    </row>
    <row r="53" spans="1:51" x14ac:dyDescent="0.25">
      <c r="A53" s="7"/>
      <c r="B53" s="4" t="str">
        <f t="shared" si="2"/>
        <v/>
      </c>
      <c r="C53" s="4" t="str">
        <f>IF($A53="","",COUNTIFS(RawData[Date],$A53,RawData[Slot],0))</f>
        <v/>
      </c>
      <c r="D53" s="4" t="str">
        <f>IF($A53="","",COUNTIFS(RawData[Date],$A53,RawData[Slot],1))</f>
        <v/>
      </c>
      <c r="E53" s="4" t="str">
        <f>IF($A53="","",COUNTIFS(RawData[Date],$A53,RawData[Slot],2))</f>
        <v/>
      </c>
      <c r="F53" s="4" t="str">
        <f>IF($A53="","",COUNTIFS(RawData[Date],$A53,RawData[Slot],3))</f>
        <v/>
      </c>
      <c r="G53" s="4" t="str">
        <f>IF($A53="","",COUNTIFS(RawData[Date],$A53,RawData[Slot],4))</f>
        <v/>
      </c>
      <c r="H53" s="4" t="str">
        <f>IF($A53="","",COUNTIFS(RawData[Date],$A53,RawData[Slot],5))</f>
        <v/>
      </c>
      <c r="I53" s="4" t="str">
        <f>IF($A53="","",COUNTIFS(RawData[Date],$A53,RawData[Slot],6))</f>
        <v/>
      </c>
      <c r="J53" s="4" t="str">
        <f>IF($A53="","",COUNTIFS(RawData[Date],$A53,RawData[Slot],7))</f>
        <v/>
      </c>
      <c r="K53" s="4" t="str">
        <f>IF($A53="","",COUNTIFS(RawData[Date],$A53,RawData[Slot],8))</f>
        <v/>
      </c>
      <c r="L53" s="4" t="str">
        <f>IF($A53="","",COUNTIFS(RawData[Date],$A53,RawData[Slot],9))</f>
        <v/>
      </c>
      <c r="M53" s="4" t="str">
        <f>IF($A53="","",COUNTIFS(RawData[Date],$A53,RawData[Slot],10))</f>
        <v/>
      </c>
      <c r="N53" s="4" t="str">
        <f>IF($A53="","",COUNTIFS(RawData[Date],$A53,RawData[Slot],11))</f>
        <v/>
      </c>
      <c r="O53" s="4" t="str">
        <f>IF($A53="","",COUNTIFS(RawData[Date],$A53,RawData[Slot],12))</f>
        <v/>
      </c>
      <c r="P53" s="4" t="str">
        <f>IF($A53="","",COUNTIFS(RawData[Date],$A53,RawData[Slot],13))</f>
        <v/>
      </c>
      <c r="Q53" s="4" t="str">
        <f>IF($A53="","",COUNTIFS(RawData[Date],$A53,RawData[Slot],14))</f>
        <v/>
      </c>
      <c r="R53" s="4" t="str">
        <f>IF($A53="","",COUNTIFS(RawData[Date],$A53,RawData[Slot],15))</f>
        <v/>
      </c>
      <c r="S53" s="4" t="str">
        <f>IF($A53="","",COUNTIFS(RawData[Date],$A53,RawData[Slot],16))</f>
        <v/>
      </c>
      <c r="T53" s="4" t="str">
        <f>IF($A53="","",COUNTIFS(RawData[Date],$A53,RawData[Slot],17))</f>
        <v/>
      </c>
      <c r="U53" s="4" t="str">
        <f>IF($A53="","",COUNTIFS(RawData[Date],$A53,RawData[Slot],18))</f>
        <v/>
      </c>
      <c r="V53" s="4" t="str">
        <f>IF($A53="","",COUNTIFS(RawData[Date],$A53,RawData[Slot],19))</f>
        <v/>
      </c>
      <c r="W53" s="4" t="str">
        <f>IF($A53="","",COUNTIFS(RawData[Date],$A53,RawData[Slot],20))</f>
        <v/>
      </c>
      <c r="X53" s="4" t="str">
        <f>IF($A53="","",COUNTIFS(RawData[Date],$A53,RawData[Slot],21))</f>
        <v/>
      </c>
      <c r="Y53" s="4" t="str">
        <f>IF($A53="","",COUNTIFS(RawData[Date],$A53,RawData[Slot],22))</f>
        <v/>
      </c>
      <c r="Z53" s="4" t="str">
        <f>IF($A53="","",COUNTIFS(RawData[Date],$A53,RawData[Slot],23))</f>
        <v/>
      </c>
      <c r="AA53" s="4" t="str">
        <f>IF($A53="","",COUNTIFS(RawData[Date],$A53,RawData[Slot],24))</f>
        <v/>
      </c>
      <c r="AB53" s="4" t="str">
        <f>IF($A53="","",COUNTIFS(RawData[Date],$A53,RawData[Slot],25))</f>
        <v/>
      </c>
      <c r="AC53" s="4" t="str">
        <f>IF($A53="","",COUNTIFS(RawData[Date],$A53,RawData[Slot],26))</f>
        <v/>
      </c>
      <c r="AD53" s="4" t="str">
        <f>IF($A53="","",COUNTIFS(RawData[Date],$A53,RawData[Slot],27))</f>
        <v/>
      </c>
      <c r="AE53" s="4" t="str">
        <f>IF($A53="","",COUNTIFS(RawData[Date],$A53,RawData[Slot],28))</f>
        <v/>
      </c>
      <c r="AF53" s="4" t="str">
        <f>IF($A53="","",COUNTIFS(RawData[Date],$A53,RawData[Slot],29))</f>
        <v/>
      </c>
      <c r="AG53" s="4" t="str">
        <f>IF($A53="","",COUNTIFS(RawData[Date],$A53,RawData[Slot],30))</f>
        <v/>
      </c>
      <c r="AH53" s="4" t="str">
        <f>IF($A53="","",COUNTIFS(RawData[Date],$A53,RawData[Slot],31))</f>
        <v/>
      </c>
      <c r="AI53" s="4" t="str">
        <f>IF($A53="","",COUNTIFS(RawData[Date],$A53,RawData[Slot],32))</f>
        <v/>
      </c>
      <c r="AJ53" s="4" t="str">
        <f>IF($A53="","",COUNTIFS(RawData[Date],$A53,RawData[Slot],33))</f>
        <v/>
      </c>
      <c r="AK53" s="4" t="str">
        <f>IF($A53="","",COUNTIFS(RawData[Date],$A53,RawData[Slot],34))</f>
        <v/>
      </c>
      <c r="AL53" s="4" t="str">
        <f>IF($A53="","",COUNTIFS(RawData[Date],$A53,RawData[Slot],35))</f>
        <v/>
      </c>
      <c r="AM53" s="4" t="str">
        <f>IF($A53="","",COUNTIFS(RawData[Date],$A53,RawData[Slot],36))</f>
        <v/>
      </c>
      <c r="AN53" s="4" t="str">
        <f>IF($A53="","",COUNTIFS(RawData[Date],$A53,RawData[Slot],37))</f>
        <v/>
      </c>
      <c r="AO53" s="4" t="str">
        <f>IF($A53="","",COUNTIFS(RawData[Date],$A53,RawData[Slot],38))</f>
        <v/>
      </c>
      <c r="AP53" s="4" t="str">
        <f>IF($A53="","",COUNTIFS(RawData[Date],$A53,RawData[Slot],39))</f>
        <v/>
      </c>
      <c r="AQ53" s="4" t="str">
        <f>IF($A53="","",COUNTIFS(RawData[Date],$A53,RawData[Slot],40))</f>
        <v/>
      </c>
      <c r="AR53" s="4" t="str">
        <f>IF($A53="","",COUNTIFS(RawData[Date],$A53,RawData[Slot],41))</f>
        <v/>
      </c>
      <c r="AS53" s="4" t="str">
        <f>IF($A53="","",COUNTIFS(RawData[Date],$A53,RawData[Slot],42))</f>
        <v/>
      </c>
      <c r="AT53" s="4" t="str">
        <f>IF($A53="","",COUNTIFS(RawData[Date],$A53,RawData[Slot],43))</f>
        <v/>
      </c>
      <c r="AU53" s="4" t="str">
        <f>IF($A53="","",COUNTIFS(RawData[Date],$A53,RawData[Slot],44))</f>
        <v/>
      </c>
      <c r="AV53" s="4" t="str">
        <f>IF($A53="","",COUNTIFS(RawData[Date],$A53,RawData[Slot],45))</f>
        <v/>
      </c>
      <c r="AW53" s="4" t="str">
        <f>IF($A53="","",COUNTIFS(RawData[Date],$A53,RawData[Slot],46))</f>
        <v/>
      </c>
      <c r="AX53" s="4" t="str">
        <f>IF($A53="","",COUNTIFS(RawData[Date],$A53,RawData[Slot],47))</f>
        <v/>
      </c>
      <c r="AY53" s="4" t="str">
        <f t="shared" si="3"/>
        <v/>
      </c>
    </row>
    <row r="54" spans="1:51" x14ac:dyDescent="0.25">
      <c r="A54" s="7"/>
      <c r="B54" s="4" t="str">
        <f t="shared" si="2"/>
        <v/>
      </c>
      <c r="C54" s="4" t="str">
        <f>IF($A54="","",COUNTIFS(RawData[Date],$A54,RawData[Slot],0))</f>
        <v/>
      </c>
      <c r="D54" s="4" t="str">
        <f>IF($A54="","",COUNTIFS(RawData[Date],$A54,RawData[Slot],1))</f>
        <v/>
      </c>
      <c r="E54" s="4" t="str">
        <f>IF($A54="","",COUNTIFS(RawData[Date],$A54,RawData[Slot],2))</f>
        <v/>
      </c>
      <c r="F54" s="4" t="str">
        <f>IF($A54="","",COUNTIFS(RawData[Date],$A54,RawData[Slot],3))</f>
        <v/>
      </c>
      <c r="G54" s="4" t="str">
        <f>IF($A54="","",COUNTIFS(RawData[Date],$A54,RawData[Slot],4))</f>
        <v/>
      </c>
      <c r="H54" s="4" t="str">
        <f>IF($A54="","",COUNTIFS(RawData[Date],$A54,RawData[Slot],5))</f>
        <v/>
      </c>
      <c r="I54" s="4" t="str">
        <f>IF($A54="","",COUNTIFS(RawData[Date],$A54,RawData[Slot],6))</f>
        <v/>
      </c>
      <c r="J54" s="4" t="str">
        <f>IF($A54="","",COUNTIFS(RawData[Date],$A54,RawData[Slot],7))</f>
        <v/>
      </c>
      <c r="K54" s="4" t="str">
        <f>IF($A54="","",COUNTIFS(RawData[Date],$A54,RawData[Slot],8))</f>
        <v/>
      </c>
      <c r="L54" s="4" t="str">
        <f>IF($A54="","",COUNTIFS(RawData[Date],$A54,RawData[Slot],9))</f>
        <v/>
      </c>
      <c r="M54" s="4" t="str">
        <f>IF($A54="","",COUNTIFS(RawData[Date],$A54,RawData[Slot],10))</f>
        <v/>
      </c>
      <c r="N54" s="4" t="str">
        <f>IF($A54="","",COUNTIFS(RawData[Date],$A54,RawData[Slot],11))</f>
        <v/>
      </c>
      <c r="O54" s="4" t="str">
        <f>IF($A54="","",COUNTIFS(RawData[Date],$A54,RawData[Slot],12))</f>
        <v/>
      </c>
      <c r="P54" s="4" t="str">
        <f>IF($A54="","",COUNTIFS(RawData[Date],$A54,RawData[Slot],13))</f>
        <v/>
      </c>
      <c r="Q54" s="4" t="str">
        <f>IF($A54="","",COUNTIFS(RawData[Date],$A54,RawData[Slot],14))</f>
        <v/>
      </c>
      <c r="R54" s="4" t="str">
        <f>IF($A54="","",COUNTIFS(RawData[Date],$A54,RawData[Slot],15))</f>
        <v/>
      </c>
      <c r="S54" s="4" t="str">
        <f>IF($A54="","",COUNTIFS(RawData[Date],$A54,RawData[Slot],16))</f>
        <v/>
      </c>
      <c r="T54" s="4" t="str">
        <f>IF($A54="","",COUNTIFS(RawData[Date],$A54,RawData[Slot],17))</f>
        <v/>
      </c>
      <c r="U54" s="4" t="str">
        <f>IF($A54="","",COUNTIFS(RawData[Date],$A54,RawData[Slot],18))</f>
        <v/>
      </c>
      <c r="V54" s="4" t="str">
        <f>IF($A54="","",COUNTIFS(RawData[Date],$A54,RawData[Slot],19))</f>
        <v/>
      </c>
      <c r="W54" s="4" t="str">
        <f>IF($A54="","",COUNTIFS(RawData[Date],$A54,RawData[Slot],20))</f>
        <v/>
      </c>
      <c r="X54" s="4" t="str">
        <f>IF($A54="","",COUNTIFS(RawData[Date],$A54,RawData[Slot],21))</f>
        <v/>
      </c>
      <c r="Y54" s="4" t="str">
        <f>IF($A54="","",COUNTIFS(RawData[Date],$A54,RawData[Slot],22))</f>
        <v/>
      </c>
      <c r="Z54" s="4" t="str">
        <f>IF($A54="","",COUNTIFS(RawData[Date],$A54,RawData[Slot],23))</f>
        <v/>
      </c>
      <c r="AA54" s="4" t="str">
        <f>IF($A54="","",COUNTIFS(RawData[Date],$A54,RawData[Slot],24))</f>
        <v/>
      </c>
      <c r="AB54" s="4" t="str">
        <f>IF($A54="","",COUNTIFS(RawData[Date],$A54,RawData[Slot],25))</f>
        <v/>
      </c>
      <c r="AC54" s="4" t="str">
        <f>IF($A54="","",COUNTIFS(RawData[Date],$A54,RawData[Slot],26))</f>
        <v/>
      </c>
      <c r="AD54" s="4" t="str">
        <f>IF($A54="","",COUNTIFS(RawData[Date],$A54,RawData[Slot],27))</f>
        <v/>
      </c>
      <c r="AE54" s="4" t="str">
        <f>IF($A54="","",COUNTIFS(RawData[Date],$A54,RawData[Slot],28))</f>
        <v/>
      </c>
      <c r="AF54" s="4" t="str">
        <f>IF($A54="","",COUNTIFS(RawData[Date],$A54,RawData[Slot],29))</f>
        <v/>
      </c>
      <c r="AG54" s="4" t="str">
        <f>IF($A54="","",COUNTIFS(RawData[Date],$A54,RawData[Slot],30))</f>
        <v/>
      </c>
      <c r="AH54" s="4" t="str">
        <f>IF($A54="","",COUNTIFS(RawData[Date],$A54,RawData[Slot],31))</f>
        <v/>
      </c>
      <c r="AI54" s="4" t="str">
        <f>IF($A54="","",COUNTIFS(RawData[Date],$A54,RawData[Slot],32))</f>
        <v/>
      </c>
      <c r="AJ54" s="4" t="str">
        <f>IF($A54="","",COUNTIFS(RawData[Date],$A54,RawData[Slot],33))</f>
        <v/>
      </c>
      <c r="AK54" s="4" t="str">
        <f>IF($A54="","",COUNTIFS(RawData[Date],$A54,RawData[Slot],34))</f>
        <v/>
      </c>
      <c r="AL54" s="4" t="str">
        <f>IF($A54="","",COUNTIFS(RawData[Date],$A54,RawData[Slot],35))</f>
        <v/>
      </c>
      <c r="AM54" s="4" t="str">
        <f>IF($A54="","",COUNTIFS(RawData[Date],$A54,RawData[Slot],36))</f>
        <v/>
      </c>
      <c r="AN54" s="4" t="str">
        <f>IF($A54="","",COUNTIFS(RawData[Date],$A54,RawData[Slot],37))</f>
        <v/>
      </c>
      <c r="AO54" s="4" t="str">
        <f>IF($A54="","",COUNTIFS(RawData[Date],$A54,RawData[Slot],38))</f>
        <v/>
      </c>
      <c r="AP54" s="4" t="str">
        <f>IF($A54="","",COUNTIFS(RawData[Date],$A54,RawData[Slot],39))</f>
        <v/>
      </c>
      <c r="AQ54" s="4" t="str">
        <f>IF($A54="","",COUNTIFS(RawData[Date],$A54,RawData[Slot],40))</f>
        <v/>
      </c>
      <c r="AR54" s="4" t="str">
        <f>IF($A54="","",COUNTIFS(RawData[Date],$A54,RawData[Slot],41))</f>
        <v/>
      </c>
      <c r="AS54" s="4" t="str">
        <f>IF($A54="","",COUNTIFS(RawData[Date],$A54,RawData[Slot],42))</f>
        <v/>
      </c>
      <c r="AT54" s="4" t="str">
        <f>IF($A54="","",COUNTIFS(RawData[Date],$A54,RawData[Slot],43))</f>
        <v/>
      </c>
      <c r="AU54" s="4" t="str">
        <f>IF($A54="","",COUNTIFS(RawData[Date],$A54,RawData[Slot],44))</f>
        <v/>
      </c>
      <c r="AV54" s="4" t="str">
        <f>IF($A54="","",COUNTIFS(RawData[Date],$A54,RawData[Slot],45))</f>
        <v/>
      </c>
      <c r="AW54" s="4" t="str">
        <f>IF($A54="","",COUNTIFS(RawData[Date],$A54,RawData[Slot],46))</f>
        <v/>
      </c>
      <c r="AX54" s="4" t="str">
        <f>IF($A54="","",COUNTIFS(RawData[Date],$A54,RawData[Slot],47))</f>
        <v/>
      </c>
      <c r="AY54" s="4" t="str">
        <f t="shared" si="3"/>
        <v/>
      </c>
    </row>
    <row r="55" spans="1:51" x14ac:dyDescent="0.25">
      <c r="A55" s="7"/>
      <c r="B55" s="4" t="str">
        <f t="shared" si="2"/>
        <v/>
      </c>
      <c r="C55" s="4" t="str">
        <f>IF($A55="","",COUNTIFS(RawData[Date],$A55,RawData[Slot],0))</f>
        <v/>
      </c>
      <c r="D55" s="4" t="str">
        <f>IF($A55="","",COUNTIFS(RawData[Date],$A55,RawData[Slot],1))</f>
        <v/>
      </c>
      <c r="E55" s="4" t="str">
        <f>IF($A55="","",COUNTIFS(RawData[Date],$A55,RawData[Slot],2))</f>
        <v/>
      </c>
      <c r="F55" s="4" t="str">
        <f>IF($A55="","",COUNTIFS(RawData[Date],$A55,RawData[Slot],3))</f>
        <v/>
      </c>
      <c r="G55" s="4" t="str">
        <f>IF($A55="","",COUNTIFS(RawData[Date],$A55,RawData[Slot],4))</f>
        <v/>
      </c>
      <c r="H55" s="4" t="str">
        <f>IF($A55="","",COUNTIFS(RawData[Date],$A55,RawData[Slot],5))</f>
        <v/>
      </c>
      <c r="I55" s="4" t="str">
        <f>IF($A55="","",COUNTIFS(RawData[Date],$A55,RawData[Slot],6))</f>
        <v/>
      </c>
      <c r="J55" s="4" t="str">
        <f>IF($A55="","",COUNTIFS(RawData[Date],$A55,RawData[Slot],7))</f>
        <v/>
      </c>
      <c r="K55" s="4" t="str">
        <f>IF($A55="","",COUNTIFS(RawData[Date],$A55,RawData[Slot],8))</f>
        <v/>
      </c>
      <c r="L55" s="4" t="str">
        <f>IF($A55="","",COUNTIFS(RawData[Date],$A55,RawData[Slot],9))</f>
        <v/>
      </c>
      <c r="M55" s="4" t="str">
        <f>IF($A55="","",COUNTIFS(RawData[Date],$A55,RawData[Slot],10))</f>
        <v/>
      </c>
      <c r="N55" s="4" t="str">
        <f>IF($A55="","",COUNTIFS(RawData[Date],$A55,RawData[Slot],11))</f>
        <v/>
      </c>
      <c r="O55" s="4" t="str">
        <f>IF($A55="","",COUNTIFS(RawData[Date],$A55,RawData[Slot],12))</f>
        <v/>
      </c>
      <c r="P55" s="4" t="str">
        <f>IF($A55="","",COUNTIFS(RawData[Date],$A55,RawData[Slot],13))</f>
        <v/>
      </c>
      <c r="Q55" s="4" t="str">
        <f>IF($A55="","",COUNTIFS(RawData[Date],$A55,RawData[Slot],14))</f>
        <v/>
      </c>
      <c r="R55" s="4" t="str">
        <f>IF($A55="","",COUNTIFS(RawData[Date],$A55,RawData[Slot],15))</f>
        <v/>
      </c>
      <c r="S55" s="4" t="str">
        <f>IF($A55="","",COUNTIFS(RawData[Date],$A55,RawData[Slot],16))</f>
        <v/>
      </c>
      <c r="T55" s="4" t="str">
        <f>IF($A55="","",COUNTIFS(RawData[Date],$A55,RawData[Slot],17))</f>
        <v/>
      </c>
      <c r="U55" s="4" t="str">
        <f>IF($A55="","",COUNTIFS(RawData[Date],$A55,RawData[Slot],18))</f>
        <v/>
      </c>
      <c r="V55" s="4" t="str">
        <f>IF($A55="","",COUNTIFS(RawData[Date],$A55,RawData[Slot],19))</f>
        <v/>
      </c>
      <c r="W55" s="4" t="str">
        <f>IF($A55="","",COUNTIFS(RawData[Date],$A55,RawData[Slot],20))</f>
        <v/>
      </c>
      <c r="X55" s="4" t="str">
        <f>IF($A55="","",COUNTIFS(RawData[Date],$A55,RawData[Slot],21))</f>
        <v/>
      </c>
      <c r="Y55" s="4" t="str">
        <f>IF($A55="","",COUNTIFS(RawData[Date],$A55,RawData[Slot],22))</f>
        <v/>
      </c>
      <c r="Z55" s="4" t="str">
        <f>IF($A55="","",COUNTIFS(RawData[Date],$A55,RawData[Slot],23))</f>
        <v/>
      </c>
      <c r="AA55" s="4" t="str">
        <f>IF($A55="","",COUNTIFS(RawData[Date],$A55,RawData[Slot],24))</f>
        <v/>
      </c>
      <c r="AB55" s="4" t="str">
        <f>IF($A55="","",COUNTIFS(RawData[Date],$A55,RawData[Slot],25))</f>
        <v/>
      </c>
      <c r="AC55" s="4" t="str">
        <f>IF($A55="","",COUNTIFS(RawData[Date],$A55,RawData[Slot],26))</f>
        <v/>
      </c>
      <c r="AD55" s="4" t="str">
        <f>IF($A55="","",COUNTIFS(RawData[Date],$A55,RawData[Slot],27))</f>
        <v/>
      </c>
      <c r="AE55" s="4" t="str">
        <f>IF($A55="","",COUNTIFS(RawData[Date],$A55,RawData[Slot],28))</f>
        <v/>
      </c>
      <c r="AF55" s="4" t="str">
        <f>IF($A55="","",COUNTIFS(RawData[Date],$A55,RawData[Slot],29))</f>
        <v/>
      </c>
      <c r="AG55" s="4" t="str">
        <f>IF($A55="","",COUNTIFS(RawData[Date],$A55,RawData[Slot],30))</f>
        <v/>
      </c>
      <c r="AH55" s="4" t="str">
        <f>IF($A55="","",COUNTIFS(RawData[Date],$A55,RawData[Slot],31))</f>
        <v/>
      </c>
      <c r="AI55" s="4" t="str">
        <f>IF($A55="","",COUNTIFS(RawData[Date],$A55,RawData[Slot],32))</f>
        <v/>
      </c>
      <c r="AJ55" s="4" t="str">
        <f>IF($A55="","",COUNTIFS(RawData[Date],$A55,RawData[Slot],33))</f>
        <v/>
      </c>
      <c r="AK55" s="4" t="str">
        <f>IF($A55="","",COUNTIFS(RawData[Date],$A55,RawData[Slot],34))</f>
        <v/>
      </c>
      <c r="AL55" s="4" t="str">
        <f>IF($A55="","",COUNTIFS(RawData[Date],$A55,RawData[Slot],35))</f>
        <v/>
      </c>
      <c r="AM55" s="4" t="str">
        <f>IF($A55="","",COUNTIFS(RawData[Date],$A55,RawData[Slot],36))</f>
        <v/>
      </c>
      <c r="AN55" s="4" t="str">
        <f>IF($A55="","",COUNTIFS(RawData[Date],$A55,RawData[Slot],37))</f>
        <v/>
      </c>
      <c r="AO55" s="4" t="str">
        <f>IF($A55="","",COUNTIFS(RawData[Date],$A55,RawData[Slot],38))</f>
        <v/>
      </c>
      <c r="AP55" s="4" t="str">
        <f>IF($A55="","",COUNTIFS(RawData[Date],$A55,RawData[Slot],39))</f>
        <v/>
      </c>
      <c r="AQ55" s="4" t="str">
        <f>IF($A55="","",COUNTIFS(RawData[Date],$A55,RawData[Slot],40))</f>
        <v/>
      </c>
      <c r="AR55" s="4" t="str">
        <f>IF($A55="","",COUNTIFS(RawData[Date],$A55,RawData[Slot],41))</f>
        <v/>
      </c>
      <c r="AS55" s="4" t="str">
        <f>IF($A55="","",COUNTIFS(RawData[Date],$A55,RawData[Slot],42))</f>
        <v/>
      </c>
      <c r="AT55" s="4" t="str">
        <f>IF($A55="","",COUNTIFS(RawData[Date],$A55,RawData[Slot],43))</f>
        <v/>
      </c>
      <c r="AU55" s="4" t="str">
        <f>IF($A55="","",COUNTIFS(RawData[Date],$A55,RawData[Slot],44))</f>
        <v/>
      </c>
      <c r="AV55" s="4" t="str">
        <f>IF($A55="","",COUNTIFS(RawData[Date],$A55,RawData[Slot],45))</f>
        <v/>
      </c>
      <c r="AW55" s="4" t="str">
        <f>IF($A55="","",COUNTIFS(RawData[Date],$A55,RawData[Slot],46))</f>
        <v/>
      </c>
      <c r="AX55" s="4" t="str">
        <f>IF($A55="","",COUNTIFS(RawData[Date],$A55,RawData[Slot],47))</f>
        <v/>
      </c>
      <c r="AY55" s="4" t="str">
        <f t="shared" si="3"/>
        <v/>
      </c>
    </row>
    <row r="56" spans="1:51" x14ac:dyDescent="0.25">
      <c r="A56" s="7"/>
      <c r="B56" s="4" t="str">
        <f t="shared" si="2"/>
        <v/>
      </c>
      <c r="C56" s="4" t="str">
        <f>IF($A56="","",COUNTIFS(RawData[Date],$A56,RawData[Slot],0))</f>
        <v/>
      </c>
      <c r="D56" s="4" t="str">
        <f>IF($A56="","",COUNTIFS(RawData[Date],$A56,RawData[Slot],1))</f>
        <v/>
      </c>
      <c r="E56" s="4" t="str">
        <f>IF($A56="","",COUNTIFS(RawData[Date],$A56,RawData[Slot],2))</f>
        <v/>
      </c>
      <c r="F56" s="4" t="str">
        <f>IF($A56="","",COUNTIFS(RawData[Date],$A56,RawData[Slot],3))</f>
        <v/>
      </c>
      <c r="G56" s="4" t="str">
        <f>IF($A56="","",COUNTIFS(RawData[Date],$A56,RawData[Slot],4))</f>
        <v/>
      </c>
      <c r="H56" s="4" t="str">
        <f>IF($A56="","",COUNTIFS(RawData[Date],$A56,RawData[Slot],5))</f>
        <v/>
      </c>
      <c r="I56" s="4" t="str">
        <f>IF($A56="","",COUNTIFS(RawData[Date],$A56,RawData[Slot],6))</f>
        <v/>
      </c>
      <c r="J56" s="4" t="str">
        <f>IF($A56="","",COUNTIFS(RawData[Date],$A56,RawData[Slot],7))</f>
        <v/>
      </c>
      <c r="K56" s="4" t="str">
        <f>IF($A56="","",COUNTIFS(RawData[Date],$A56,RawData[Slot],8))</f>
        <v/>
      </c>
      <c r="L56" s="4" t="str">
        <f>IF($A56="","",COUNTIFS(RawData[Date],$A56,RawData[Slot],9))</f>
        <v/>
      </c>
      <c r="M56" s="4" t="str">
        <f>IF($A56="","",COUNTIFS(RawData[Date],$A56,RawData[Slot],10))</f>
        <v/>
      </c>
      <c r="N56" s="4" t="str">
        <f>IF($A56="","",COUNTIFS(RawData[Date],$A56,RawData[Slot],11))</f>
        <v/>
      </c>
      <c r="O56" s="4" t="str">
        <f>IF($A56="","",COUNTIFS(RawData[Date],$A56,RawData[Slot],12))</f>
        <v/>
      </c>
      <c r="P56" s="4" t="str">
        <f>IF($A56="","",COUNTIFS(RawData[Date],$A56,RawData[Slot],13))</f>
        <v/>
      </c>
      <c r="Q56" s="4" t="str">
        <f>IF($A56="","",COUNTIFS(RawData[Date],$A56,RawData[Slot],14))</f>
        <v/>
      </c>
      <c r="R56" s="4" t="str">
        <f>IF($A56="","",COUNTIFS(RawData[Date],$A56,RawData[Slot],15))</f>
        <v/>
      </c>
      <c r="S56" s="4" t="str">
        <f>IF($A56="","",COUNTIFS(RawData[Date],$A56,RawData[Slot],16))</f>
        <v/>
      </c>
      <c r="T56" s="4" t="str">
        <f>IF($A56="","",COUNTIFS(RawData[Date],$A56,RawData[Slot],17))</f>
        <v/>
      </c>
      <c r="U56" s="4" t="str">
        <f>IF($A56="","",COUNTIFS(RawData[Date],$A56,RawData[Slot],18))</f>
        <v/>
      </c>
      <c r="V56" s="4" t="str">
        <f>IF($A56="","",COUNTIFS(RawData[Date],$A56,RawData[Slot],19))</f>
        <v/>
      </c>
      <c r="W56" s="4" t="str">
        <f>IF($A56="","",COUNTIFS(RawData[Date],$A56,RawData[Slot],20))</f>
        <v/>
      </c>
      <c r="X56" s="4" t="str">
        <f>IF($A56="","",COUNTIFS(RawData[Date],$A56,RawData[Slot],21))</f>
        <v/>
      </c>
      <c r="Y56" s="4" t="str">
        <f>IF($A56="","",COUNTIFS(RawData[Date],$A56,RawData[Slot],22))</f>
        <v/>
      </c>
      <c r="Z56" s="4" t="str">
        <f>IF($A56="","",COUNTIFS(RawData[Date],$A56,RawData[Slot],23))</f>
        <v/>
      </c>
      <c r="AA56" s="4" t="str">
        <f>IF($A56="","",COUNTIFS(RawData[Date],$A56,RawData[Slot],24))</f>
        <v/>
      </c>
      <c r="AB56" s="4" t="str">
        <f>IF($A56="","",COUNTIFS(RawData[Date],$A56,RawData[Slot],25))</f>
        <v/>
      </c>
      <c r="AC56" s="4" t="str">
        <f>IF($A56="","",COUNTIFS(RawData[Date],$A56,RawData[Slot],26))</f>
        <v/>
      </c>
      <c r="AD56" s="4" t="str">
        <f>IF($A56="","",COUNTIFS(RawData[Date],$A56,RawData[Slot],27))</f>
        <v/>
      </c>
      <c r="AE56" s="4" t="str">
        <f>IF($A56="","",COUNTIFS(RawData[Date],$A56,RawData[Slot],28))</f>
        <v/>
      </c>
      <c r="AF56" s="4" t="str">
        <f>IF($A56="","",COUNTIFS(RawData[Date],$A56,RawData[Slot],29))</f>
        <v/>
      </c>
      <c r="AG56" s="4" t="str">
        <f>IF($A56="","",COUNTIFS(RawData[Date],$A56,RawData[Slot],30))</f>
        <v/>
      </c>
      <c r="AH56" s="4" t="str">
        <f>IF($A56="","",COUNTIFS(RawData[Date],$A56,RawData[Slot],31))</f>
        <v/>
      </c>
      <c r="AI56" s="4" t="str">
        <f>IF($A56="","",COUNTIFS(RawData[Date],$A56,RawData[Slot],32))</f>
        <v/>
      </c>
      <c r="AJ56" s="4" t="str">
        <f>IF($A56="","",COUNTIFS(RawData[Date],$A56,RawData[Slot],33))</f>
        <v/>
      </c>
      <c r="AK56" s="4" t="str">
        <f>IF($A56="","",COUNTIFS(RawData[Date],$A56,RawData[Slot],34))</f>
        <v/>
      </c>
      <c r="AL56" s="4" t="str">
        <f>IF($A56="","",COUNTIFS(RawData[Date],$A56,RawData[Slot],35))</f>
        <v/>
      </c>
      <c r="AM56" s="4" t="str">
        <f>IF($A56="","",COUNTIFS(RawData[Date],$A56,RawData[Slot],36))</f>
        <v/>
      </c>
      <c r="AN56" s="4" t="str">
        <f>IF($A56="","",COUNTIFS(RawData[Date],$A56,RawData[Slot],37))</f>
        <v/>
      </c>
      <c r="AO56" s="4" t="str">
        <f>IF($A56="","",COUNTIFS(RawData[Date],$A56,RawData[Slot],38))</f>
        <v/>
      </c>
      <c r="AP56" s="4" t="str">
        <f>IF($A56="","",COUNTIFS(RawData[Date],$A56,RawData[Slot],39))</f>
        <v/>
      </c>
      <c r="AQ56" s="4" t="str">
        <f>IF($A56="","",COUNTIFS(RawData[Date],$A56,RawData[Slot],40))</f>
        <v/>
      </c>
      <c r="AR56" s="4" t="str">
        <f>IF($A56="","",COUNTIFS(RawData[Date],$A56,RawData[Slot],41))</f>
        <v/>
      </c>
      <c r="AS56" s="4" t="str">
        <f>IF($A56="","",COUNTIFS(RawData[Date],$A56,RawData[Slot],42))</f>
        <v/>
      </c>
      <c r="AT56" s="4" t="str">
        <f>IF($A56="","",COUNTIFS(RawData[Date],$A56,RawData[Slot],43))</f>
        <v/>
      </c>
      <c r="AU56" s="4" t="str">
        <f>IF($A56="","",COUNTIFS(RawData[Date],$A56,RawData[Slot],44))</f>
        <v/>
      </c>
      <c r="AV56" s="4" t="str">
        <f>IF($A56="","",COUNTIFS(RawData[Date],$A56,RawData[Slot],45))</f>
        <v/>
      </c>
      <c r="AW56" s="4" t="str">
        <f>IF($A56="","",COUNTIFS(RawData[Date],$A56,RawData[Slot],46))</f>
        <v/>
      </c>
      <c r="AX56" s="4" t="str">
        <f>IF($A56="","",COUNTIFS(RawData[Date],$A56,RawData[Slot],47))</f>
        <v/>
      </c>
      <c r="AY56" s="4" t="str">
        <f t="shared" si="3"/>
        <v/>
      </c>
    </row>
    <row r="57" spans="1:51" x14ac:dyDescent="0.25">
      <c r="A57" s="7"/>
      <c r="B57" s="4" t="str">
        <f t="shared" si="2"/>
        <v/>
      </c>
      <c r="C57" s="4" t="str">
        <f>IF($A57="","",COUNTIFS(RawData[Date],$A57,RawData[Slot],0))</f>
        <v/>
      </c>
      <c r="D57" s="4" t="str">
        <f>IF($A57="","",COUNTIFS(RawData[Date],$A57,RawData[Slot],1))</f>
        <v/>
      </c>
      <c r="E57" s="4" t="str">
        <f>IF($A57="","",COUNTIFS(RawData[Date],$A57,RawData[Slot],2))</f>
        <v/>
      </c>
      <c r="F57" s="4" t="str">
        <f>IF($A57="","",COUNTIFS(RawData[Date],$A57,RawData[Slot],3))</f>
        <v/>
      </c>
      <c r="G57" s="4" t="str">
        <f>IF($A57="","",COUNTIFS(RawData[Date],$A57,RawData[Slot],4))</f>
        <v/>
      </c>
      <c r="H57" s="4" t="str">
        <f>IF($A57="","",COUNTIFS(RawData[Date],$A57,RawData[Slot],5))</f>
        <v/>
      </c>
      <c r="I57" s="4" t="str">
        <f>IF($A57="","",COUNTIFS(RawData[Date],$A57,RawData[Slot],6))</f>
        <v/>
      </c>
      <c r="J57" s="4" t="str">
        <f>IF($A57="","",COUNTIFS(RawData[Date],$A57,RawData[Slot],7))</f>
        <v/>
      </c>
      <c r="K57" s="4" t="str">
        <f>IF($A57="","",COUNTIFS(RawData[Date],$A57,RawData[Slot],8))</f>
        <v/>
      </c>
      <c r="L57" s="4" t="str">
        <f>IF($A57="","",COUNTIFS(RawData[Date],$A57,RawData[Slot],9))</f>
        <v/>
      </c>
      <c r="M57" s="4" t="str">
        <f>IF($A57="","",COUNTIFS(RawData[Date],$A57,RawData[Slot],10))</f>
        <v/>
      </c>
      <c r="N57" s="4" t="str">
        <f>IF($A57="","",COUNTIFS(RawData[Date],$A57,RawData[Slot],11))</f>
        <v/>
      </c>
      <c r="O57" s="4" t="str">
        <f>IF($A57="","",COUNTIFS(RawData[Date],$A57,RawData[Slot],12))</f>
        <v/>
      </c>
      <c r="P57" s="4" t="str">
        <f>IF($A57="","",COUNTIFS(RawData[Date],$A57,RawData[Slot],13))</f>
        <v/>
      </c>
      <c r="Q57" s="4" t="str">
        <f>IF($A57="","",COUNTIFS(RawData[Date],$A57,RawData[Slot],14))</f>
        <v/>
      </c>
      <c r="R57" s="4" t="str">
        <f>IF($A57="","",COUNTIFS(RawData[Date],$A57,RawData[Slot],15))</f>
        <v/>
      </c>
      <c r="S57" s="4" t="str">
        <f>IF($A57="","",COUNTIFS(RawData[Date],$A57,RawData[Slot],16))</f>
        <v/>
      </c>
      <c r="T57" s="4" t="str">
        <f>IF($A57="","",COUNTIFS(RawData[Date],$A57,RawData[Slot],17))</f>
        <v/>
      </c>
      <c r="U57" s="4" t="str">
        <f>IF($A57="","",COUNTIFS(RawData[Date],$A57,RawData[Slot],18))</f>
        <v/>
      </c>
      <c r="V57" s="4" t="str">
        <f>IF($A57="","",COUNTIFS(RawData[Date],$A57,RawData[Slot],19))</f>
        <v/>
      </c>
      <c r="W57" s="4" t="str">
        <f>IF($A57="","",COUNTIFS(RawData[Date],$A57,RawData[Slot],20))</f>
        <v/>
      </c>
      <c r="X57" s="4" t="str">
        <f>IF($A57="","",COUNTIFS(RawData[Date],$A57,RawData[Slot],21))</f>
        <v/>
      </c>
      <c r="Y57" s="4" t="str">
        <f>IF($A57="","",COUNTIFS(RawData[Date],$A57,RawData[Slot],22))</f>
        <v/>
      </c>
      <c r="Z57" s="4" t="str">
        <f>IF($A57="","",COUNTIFS(RawData[Date],$A57,RawData[Slot],23))</f>
        <v/>
      </c>
      <c r="AA57" s="4" t="str">
        <f>IF($A57="","",COUNTIFS(RawData[Date],$A57,RawData[Slot],24))</f>
        <v/>
      </c>
      <c r="AB57" s="4" t="str">
        <f>IF($A57="","",COUNTIFS(RawData[Date],$A57,RawData[Slot],25))</f>
        <v/>
      </c>
      <c r="AC57" s="4" t="str">
        <f>IF($A57="","",COUNTIFS(RawData[Date],$A57,RawData[Slot],26))</f>
        <v/>
      </c>
      <c r="AD57" s="4" t="str">
        <f>IF($A57="","",COUNTIFS(RawData[Date],$A57,RawData[Slot],27))</f>
        <v/>
      </c>
      <c r="AE57" s="4" t="str">
        <f>IF($A57="","",COUNTIFS(RawData[Date],$A57,RawData[Slot],28))</f>
        <v/>
      </c>
      <c r="AF57" s="4" t="str">
        <f>IF($A57="","",COUNTIFS(RawData[Date],$A57,RawData[Slot],29))</f>
        <v/>
      </c>
      <c r="AG57" s="4" t="str">
        <f>IF($A57="","",COUNTIFS(RawData[Date],$A57,RawData[Slot],30))</f>
        <v/>
      </c>
      <c r="AH57" s="4" t="str">
        <f>IF($A57="","",COUNTIFS(RawData[Date],$A57,RawData[Slot],31))</f>
        <v/>
      </c>
      <c r="AI57" s="4" t="str">
        <f>IF($A57="","",COUNTIFS(RawData[Date],$A57,RawData[Slot],32))</f>
        <v/>
      </c>
      <c r="AJ57" s="4" t="str">
        <f>IF($A57="","",COUNTIFS(RawData[Date],$A57,RawData[Slot],33))</f>
        <v/>
      </c>
      <c r="AK57" s="4" t="str">
        <f>IF($A57="","",COUNTIFS(RawData[Date],$A57,RawData[Slot],34))</f>
        <v/>
      </c>
      <c r="AL57" s="4" t="str">
        <f>IF($A57="","",COUNTIFS(RawData[Date],$A57,RawData[Slot],35))</f>
        <v/>
      </c>
      <c r="AM57" s="4" t="str">
        <f>IF($A57="","",COUNTIFS(RawData[Date],$A57,RawData[Slot],36))</f>
        <v/>
      </c>
      <c r="AN57" s="4" t="str">
        <f>IF($A57="","",COUNTIFS(RawData[Date],$A57,RawData[Slot],37))</f>
        <v/>
      </c>
      <c r="AO57" s="4" t="str">
        <f>IF($A57="","",COUNTIFS(RawData[Date],$A57,RawData[Slot],38))</f>
        <v/>
      </c>
      <c r="AP57" s="4" t="str">
        <f>IF($A57="","",COUNTIFS(RawData[Date],$A57,RawData[Slot],39))</f>
        <v/>
      </c>
      <c r="AQ57" s="4" t="str">
        <f>IF($A57="","",COUNTIFS(RawData[Date],$A57,RawData[Slot],40))</f>
        <v/>
      </c>
      <c r="AR57" s="4" t="str">
        <f>IF($A57="","",COUNTIFS(RawData[Date],$A57,RawData[Slot],41))</f>
        <v/>
      </c>
      <c r="AS57" s="4" t="str">
        <f>IF($A57="","",COUNTIFS(RawData[Date],$A57,RawData[Slot],42))</f>
        <v/>
      </c>
      <c r="AT57" s="4" t="str">
        <f>IF($A57="","",COUNTIFS(RawData[Date],$A57,RawData[Slot],43))</f>
        <v/>
      </c>
      <c r="AU57" s="4" t="str">
        <f>IF($A57="","",COUNTIFS(RawData[Date],$A57,RawData[Slot],44))</f>
        <v/>
      </c>
      <c r="AV57" s="4" t="str">
        <f>IF($A57="","",COUNTIFS(RawData[Date],$A57,RawData[Slot],45))</f>
        <v/>
      </c>
      <c r="AW57" s="4" t="str">
        <f>IF($A57="","",COUNTIFS(RawData[Date],$A57,RawData[Slot],46))</f>
        <v/>
      </c>
      <c r="AX57" s="4" t="str">
        <f>IF($A57="","",COUNTIFS(RawData[Date],$A57,RawData[Slot],47))</f>
        <v/>
      </c>
      <c r="AY57" s="4" t="str">
        <f t="shared" si="3"/>
        <v/>
      </c>
    </row>
    <row r="58" spans="1:51" x14ac:dyDescent="0.25">
      <c r="A58" s="7"/>
      <c r="B58" s="4" t="str">
        <f t="shared" si="2"/>
        <v/>
      </c>
      <c r="C58" s="4" t="str">
        <f>IF($A58="","",COUNTIFS(RawData[Date],$A58,RawData[Slot],0))</f>
        <v/>
      </c>
      <c r="D58" s="4" t="str">
        <f>IF($A58="","",COUNTIFS(RawData[Date],$A58,RawData[Slot],1))</f>
        <v/>
      </c>
      <c r="E58" s="4" t="str">
        <f>IF($A58="","",COUNTIFS(RawData[Date],$A58,RawData[Slot],2))</f>
        <v/>
      </c>
      <c r="F58" s="4" t="str">
        <f>IF($A58="","",COUNTIFS(RawData[Date],$A58,RawData[Slot],3))</f>
        <v/>
      </c>
      <c r="G58" s="4" t="str">
        <f>IF($A58="","",COUNTIFS(RawData[Date],$A58,RawData[Slot],4))</f>
        <v/>
      </c>
      <c r="H58" s="4" t="str">
        <f>IF($A58="","",COUNTIFS(RawData[Date],$A58,RawData[Slot],5))</f>
        <v/>
      </c>
      <c r="I58" s="4" t="str">
        <f>IF($A58="","",COUNTIFS(RawData[Date],$A58,RawData[Slot],6))</f>
        <v/>
      </c>
      <c r="J58" s="4" t="str">
        <f>IF($A58="","",COUNTIFS(RawData[Date],$A58,RawData[Slot],7))</f>
        <v/>
      </c>
      <c r="K58" s="4" t="str">
        <f>IF($A58="","",COUNTIFS(RawData[Date],$A58,RawData[Slot],8))</f>
        <v/>
      </c>
      <c r="L58" s="4" t="str">
        <f>IF($A58="","",COUNTIFS(RawData[Date],$A58,RawData[Slot],9))</f>
        <v/>
      </c>
      <c r="M58" s="4" t="str">
        <f>IF($A58="","",COUNTIFS(RawData[Date],$A58,RawData[Slot],10))</f>
        <v/>
      </c>
      <c r="N58" s="4" t="str">
        <f>IF($A58="","",COUNTIFS(RawData[Date],$A58,RawData[Slot],11))</f>
        <v/>
      </c>
      <c r="O58" s="4" t="str">
        <f>IF($A58="","",COUNTIFS(RawData[Date],$A58,RawData[Slot],12))</f>
        <v/>
      </c>
      <c r="P58" s="4" t="str">
        <f>IF($A58="","",COUNTIFS(RawData[Date],$A58,RawData[Slot],13))</f>
        <v/>
      </c>
      <c r="Q58" s="4" t="str">
        <f>IF($A58="","",COUNTIFS(RawData[Date],$A58,RawData[Slot],14))</f>
        <v/>
      </c>
      <c r="R58" s="4" t="str">
        <f>IF($A58="","",COUNTIFS(RawData[Date],$A58,RawData[Slot],15))</f>
        <v/>
      </c>
      <c r="S58" s="4" t="str">
        <f>IF($A58="","",COUNTIFS(RawData[Date],$A58,RawData[Slot],16))</f>
        <v/>
      </c>
      <c r="T58" s="4" t="str">
        <f>IF($A58="","",COUNTIFS(RawData[Date],$A58,RawData[Slot],17))</f>
        <v/>
      </c>
      <c r="U58" s="4" t="str">
        <f>IF($A58="","",COUNTIFS(RawData[Date],$A58,RawData[Slot],18))</f>
        <v/>
      </c>
      <c r="V58" s="4" t="str">
        <f>IF($A58="","",COUNTIFS(RawData[Date],$A58,RawData[Slot],19))</f>
        <v/>
      </c>
      <c r="W58" s="4" t="str">
        <f>IF($A58="","",COUNTIFS(RawData[Date],$A58,RawData[Slot],20))</f>
        <v/>
      </c>
      <c r="X58" s="4" t="str">
        <f>IF($A58="","",COUNTIFS(RawData[Date],$A58,RawData[Slot],21))</f>
        <v/>
      </c>
      <c r="Y58" s="4" t="str">
        <f>IF($A58="","",COUNTIFS(RawData[Date],$A58,RawData[Slot],22))</f>
        <v/>
      </c>
      <c r="Z58" s="4" t="str">
        <f>IF($A58="","",COUNTIFS(RawData[Date],$A58,RawData[Slot],23))</f>
        <v/>
      </c>
      <c r="AA58" s="4" t="str">
        <f>IF($A58="","",COUNTIFS(RawData[Date],$A58,RawData[Slot],24))</f>
        <v/>
      </c>
      <c r="AB58" s="4" t="str">
        <f>IF($A58="","",COUNTIFS(RawData[Date],$A58,RawData[Slot],25))</f>
        <v/>
      </c>
      <c r="AC58" s="4" t="str">
        <f>IF($A58="","",COUNTIFS(RawData[Date],$A58,RawData[Slot],26))</f>
        <v/>
      </c>
      <c r="AD58" s="4" t="str">
        <f>IF($A58="","",COUNTIFS(RawData[Date],$A58,RawData[Slot],27))</f>
        <v/>
      </c>
      <c r="AE58" s="4" t="str">
        <f>IF($A58="","",COUNTIFS(RawData[Date],$A58,RawData[Slot],28))</f>
        <v/>
      </c>
      <c r="AF58" s="4" t="str">
        <f>IF($A58="","",COUNTIFS(RawData[Date],$A58,RawData[Slot],29))</f>
        <v/>
      </c>
      <c r="AG58" s="4" t="str">
        <f>IF($A58="","",COUNTIFS(RawData[Date],$A58,RawData[Slot],30))</f>
        <v/>
      </c>
      <c r="AH58" s="4" t="str">
        <f>IF($A58="","",COUNTIFS(RawData[Date],$A58,RawData[Slot],31))</f>
        <v/>
      </c>
      <c r="AI58" s="4" t="str">
        <f>IF($A58="","",COUNTIFS(RawData[Date],$A58,RawData[Slot],32))</f>
        <v/>
      </c>
      <c r="AJ58" s="4" t="str">
        <f>IF($A58="","",COUNTIFS(RawData[Date],$A58,RawData[Slot],33))</f>
        <v/>
      </c>
      <c r="AK58" s="4" t="str">
        <f>IF($A58="","",COUNTIFS(RawData[Date],$A58,RawData[Slot],34))</f>
        <v/>
      </c>
      <c r="AL58" s="4" t="str">
        <f>IF($A58="","",COUNTIFS(RawData[Date],$A58,RawData[Slot],35))</f>
        <v/>
      </c>
      <c r="AM58" s="4" t="str">
        <f>IF($A58="","",COUNTIFS(RawData[Date],$A58,RawData[Slot],36))</f>
        <v/>
      </c>
      <c r="AN58" s="4" t="str">
        <f>IF($A58="","",COUNTIFS(RawData[Date],$A58,RawData[Slot],37))</f>
        <v/>
      </c>
      <c r="AO58" s="4" t="str">
        <f>IF($A58="","",COUNTIFS(RawData[Date],$A58,RawData[Slot],38))</f>
        <v/>
      </c>
      <c r="AP58" s="4" t="str">
        <f>IF($A58="","",COUNTIFS(RawData[Date],$A58,RawData[Slot],39))</f>
        <v/>
      </c>
      <c r="AQ58" s="4" t="str">
        <f>IF($A58="","",COUNTIFS(RawData[Date],$A58,RawData[Slot],40))</f>
        <v/>
      </c>
      <c r="AR58" s="4" t="str">
        <f>IF($A58="","",COUNTIFS(RawData[Date],$A58,RawData[Slot],41))</f>
        <v/>
      </c>
      <c r="AS58" s="4" t="str">
        <f>IF($A58="","",COUNTIFS(RawData[Date],$A58,RawData[Slot],42))</f>
        <v/>
      </c>
      <c r="AT58" s="4" t="str">
        <f>IF($A58="","",COUNTIFS(RawData[Date],$A58,RawData[Slot],43))</f>
        <v/>
      </c>
      <c r="AU58" s="4" t="str">
        <f>IF($A58="","",COUNTIFS(RawData[Date],$A58,RawData[Slot],44))</f>
        <v/>
      </c>
      <c r="AV58" s="4" t="str">
        <f>IF($A58="","",COUNTIFS(RawData[Date],$A58,RawData[Slot],45))</f>
        <v/>
      </c>
      <c r="AW58" s="4" t="str">
        <f>IF($A58="","",COUNTIFS(RawData[Date],$A58,RawData[Slot],46))</f>
        <v/>
      </c>
      <c r="AX58" s="4" t="str">
        <f>IF($A58="","",COUNTIFS(RawData[Date],$A58,RawData[Slot],47))</f>
        <v/>
      </c>
      <c r="AY58" s="4" t="str">
        <f t="shared" si="3"/>
        <v/>
      </c>
    </row>
    <row r="59" spans="1:51" x14ac:dyDescent="0.25">
      <c r="A59" s="7"/>
      <c r="B59" s="4" t="str">
        <f t="shared" si="2"/>
        <v/>
      </c>
      <c r="C59" s="4" t="str">
        <f>IF($A59="","",COUNTIFS(RawData[Date],$A59,RawData[Slot],0))</f>
        <v/>
      </c>
      <c r="D59" s="4" t="str">
        <f>IF($A59="","",COUNTIFS(RawData[Date],$A59,RawData[Slot],1))</f>
        <v/>
      </c>
      <c r="E59" s="4" t="str">
        <f>IF($A59="","",COUNTIFS(RawData[Date],$A59,RawData[Slot],2))</f>
        <v/>
      </c>
      <c r="F59" s="4" t="str">
        <f>IF($A59="","",COUNTIFS(RawData[Date],$A59,RawData[Slot],3))</f>
        <v/>
      </c>
      <c r="G59" s="4" t="str">
        <f>IF($A59="","",COUNTIFS(RawData[Date],$A59,RawData[Slot],4))</f>
        <v/>
      </c>
      <c r="H59" s="4" t="str">
        <f>IF($A59="","",COUNTIFS(RawData[Date],$A59,RawData[Slot],5))</f>
        <v/>
      </c>
      <c r="I59" s="4" t="str">
        <f>IF($A59="","",COUNTIFS(RawData[Date],$A59,RawData[Slot],6))</f>
        <v/>
      </c>
      <c r="J59" s="4" t="str">
        <f>IF($A59="","",COUNTIFS(RawData[Date],$A59,RawData[Slot],7))</f>
        <v/>
      </c>
      <c r="K59" s="4" t="str">
        <f>IF($A59="","",COUNTIFS(RawData[Date],$A59,RawData[Slot],8))</f>
        <v/>
      </c>
      <c r="L59" s="4" t="str">
        <f>IF($A59="","",COUNTIFS(RawData[Date],$A59,RawData[Slot],9))</f>
        <v/>
      </c>
      <c r="M59" s="4" t="str">
        <f>IF($A59="","",COUNTIFS(RawData[Date],$A59,RawData[Slot],10))</f>
        <v/>
      </c>
      <c r="N59" s="4" t="str">
        <f>IF($A59="","",COUNTIFS(RawData[Date],$A59,RawData[Slot],11))</f>
        <v/>
      </c>
      <c r="O59" s="4" t="str">
        <f>IF($A59="","",COUNTIFS(RawData[Date],$A59,RawData[Slot],12))</f>
        <v/>
      </c>
      <c r="P59" s="4" t="str">
        <f>IF($A59="","",COUNTIFS(RawData[Date],$A59,RawData[Slot],13))</f>
        <v/>
      </c>
      <c r="Q59" s="4" t="str">
        <f>IF($A59="","",COUNTIFS(RawData[Date],$A59,RawData[Slot],14))</f>
        <v/>
      </c>
      <c r="R59" s="4" t="str">
        <f>IF($A59="","",COUNTIFS(RawData[Date],$A59,RawData[Slot],15))</f>
        <v/>
      </c>
      <c r="S59" s="4" t="str">
        <f>IF($A59="","",COUNTIFS(RawData[Date],$A59,RawData[Slot],16))</f>
        <v/>
      </c>
      <c r="T59" s="4" t="str">
        <f>IF($A59="","",COUNTIFS(RawData[Date],$A59,RawData[Slot],17))</f>
        <v/>
      </c>
      <c r="U59" s="4" t="str">
        <f>IF($A59="","",COUNTIFS(RawData[Date],$A59,RawData[Slot],18))</f>
        <v/>
      </c>
      <c r="V59" s="4" t="str">
        <f>IF($A59="","",COUNTIFS(RawData[Date],$A59,RawData[Slot],19))</f>
        <v/>
      </c>
      <c r="W59" s="4" t="str">
        <f>IF($A59="","",COUNTIFS(RawData[Date],$A59,RawData[Slot],20))</f>
        <v/>
      </c>
      <c r="X59" s="4" t="str">
        <f>IF($A59="","",COUNTIFS(RawData[Date],$A59,RawData[Slot],21))</f>
        <v/>
      </c>
      <c r="Y59" s="4" t="str">
        <f>IF($A59="","",COUNTIFS(RawData[Date],$A59,RawData[Slot],22))</f>
        <v/>
      </c>
      <c r="Z59" s="4" t="str">
        <f>IF($A59="","",COUNTIFS(RawData[Date],$A59,RawData[Slot],23))</f>
        <v/>
      </c>
      <c r="AA59" s="4" t="str">
        <f>IF($A59="","",COUNTIFS(RawData[Date],$A59,RawData[Slot],24))</f>
        <v/>
      </c>
      <c r="AB59" s="4" t="str">
        <f>IF($A59="","",COUNTIFS(RawData[Date],$A59,RawData[Slot],25))</f>
        <v/>
      </c>
      <c r="AC59" s="4" t="str">
        <f>IF($A59="","",COUNTIFS(RawData[Date],$A59,RawData[Slot],26))</f>
        <v/>
      </c>
      <c r="AD59" s="4" t="str">
        <f>IF($A59="","",COUNTIFS(RawData[Date],$A59,RawData[Slot],27))</f>
        <v/>
      </c>
      <c r="AE59" s="4" t="str">
        <f>IF($A59="","",COUNTIFS(RawData[Date],$A59,RawData[Slot],28))</f>
        <v/>
      </c>
      <c r="AF59" s="4" t="str">
        <f>IF($A59="","",COUNTIFS(RawData[Date],$A59,RawData[Slot],29))</f>
        <v/>
      </c>
      <c r="AG59" s="4" t="str">
        <f>IF($A59="","",COUNTIFS(RawData[Date],$A59,RawData[Slot],30))</f>
        <v/>
      </c>
      <c r="AH59" s="4" t="str">
        <f>IF($A59="","",COUNTIFS(RawData[Date],$A59,RawData[Slot],31))</f>
        <v/>
      </c>
      <c r="AI59" s="4" t="str">
        <f>IF($A59="","",COUNTIFS(RawData[Date],$A59,RawData[Slot],32))</f>
        <v/>
      </c>
      <c r="AJ59" s="4" t="str">
        <f>IF($A59="","",COUNTIFS(RawData[Date],$A59,RawData[Slot],33))</f>
        <v/>
      </c>
      <c r="AK59" s="4" t="str">
        <f>IF($A59="","",COUNTIFS(RawData[Date],$A59,RawData[Slot],34))</f>
        <v/>
      </c>
      <c r="AL59" s="4" t="str">
        <f>IF($A59="","",COUNTIFS(RawData[Date],$A59,RawData[Slot],35))</f>
        <v/>
      </c>
      <c r="AM59" s="4" t="str">
        <f>IF($A59="","",COUNTIFS(RawData[Date],$A59,RawData[Slot],36))</f>
        <v/>
      </c>
      <c r="AN59" s="4" t="str">
        <f>IF($A59="","",COUNTIFS(RawData[Date],$A59,RawData[Slot],37))</f>
        <v/>
      </c>
      <c r="AO59" s="4" t="str">
        <f>IF($A59="","",COUNTIFS(RawData[Date],$A59,RawData[Slot],38))</f>
        <v/>
      </c>
      <c r="AP59" s="4" t="str">
        <f>IF($A59="","",COUNTIFS(RawData[Date],$A59,RawData[Slot],39))</f>
        <v/>
      </c>
      <c r="AQ59" s="4" t="str">
        <f>IF($A59="","",COUNTIFS(RawData[Date],$A59,RawData[Slot],40))</f>
        <v/>
      </c>
      <c r="AR59" s="4" t="str">
        <f>IF($A59="","",COUNTIFS(RawData[Date],$A59,RawData[Slot],41))</f>
        <v/>
      </c>
      <c r="AS59" s="4" t="str">
        <f>IF($A59="","",COUNTIFS(RawData[Date],$A59,RawData[Slot],42))</f>
        <v/>
      </c>
      <c r="AT59" s="4" t="str">
        <f>IF($A59="","",COUNTIFS(RawData[Date],$A59,RawData[Slot],43))</f>
        <v/>
      </c>
      <c r="AU59" s="4" t="str">
        <f>IF($A59="","",COUNTIFS(RawData[Date],$A59,RawData[Slot],44))</f>
        <v/>
      </c>
      <c r="AV59" s="4" t="str">
        <f>IF($A59="","",COUNTIFS(RawData[Date],$A59,RawData[Slot],45))</f>
        <v/>
      </c>
      <c r="AW59" s="4" t="str">
        <f>IF($A59="","",COUNTIFS(RawData[Date],$A59,RawData[Slot],46))</f>
        <v/>
      </c>
      <c r="AX59" s="4" t="str">
        <f>IF($A59="","",COUNTIFS(RawData[Date],$A59,RawData[Slot],47))</f>
        <v/>
      </c>
      <c r="AY59" s="4" t="str">
        <f t="shared" si="3"/>
        <v/>
      </c>
    </row>
    <row r="60" spans="1:51" x14ac:dyDescent="0.25">
      <c r="A60" s="7"/>
      <c r="B60" s="4" t="str">
        <f t="shared" si="2"/>
        <v/>
      </c>
      <c r="C60" s="4" t="str">
        <f>IF($A60="","",COUNTIFS(RawData[Date],$A60,RawData[Slot],0))</f>
        <v/>
      </c>
      <c r="D60" s="4" t="str">
        <f>IF($A60="","",COUNTIFS(RawData[Date],$A60,RawData[Slot],1))</f>
        <v/>
      </c>
      <c r="E60" s="4" t="str">
        <f>IF($A60="","",COUNTIFS(RawData[Date],$A60,RawData[Slot],2))</f>
        <v/>
      </c>
      <c r="F60" s="4" t="str">
        <f>IF($A60="","",COUNTIFS(RawData[Date],$A60,RawData[Slot],3))</f>
        <v/>
      </c>
      <c r="G60" s="4" t="str">
        <f>IF($A60="","",COUNTIFS(RawData[Date],$A60,RawData[Slot],4))</f>
        <v/>
      </c>
      <c r="H60" s="4" t="str">
        <f>IF($A60="","",COUNTIFS(RawData[Date],$A60,RawData[Slot],5))</f>
        <v/>
      </c>
      <c r="I60" s="4" t="str">
        <f>IF($A60="","",COUNTIFS(RawData[Date],$A60,RawData[Slot],6))</f>
        <v/>
      </c>
      <c r="J60" s="4" t="str">
        <f>IF($A60="","",COUNTIFS(RawData[Date],$A60,RawData[Slot],7))</f>
        <v/>
      </c>
      <c r="K60" s="4" t="str">
        <f>IF($A60="","",COUNTIFS(RawData[Date],$A60,RawData[Slot],8))</f>
        <v/>
      </c>
      <c r="L60" s="4" t="str">
        <f>IF($A60="","",COUNTIFS(RawData[Date],$A60,RawData[Slot],9))</f>
        <v/>
      </c>
      <c r="M60" s="4" t="str">
        <f>IF($A60="","",COUNTIFS(RawData[Date],$A60,RawData[Slot],10))</f>
        <v/>
      </c>
      <c r="N60" s="4" t="str">
        <f>IF($A60="","",COUNTIFS(RawData[Date],$A60,RawData[Slot],11))</f>
        <v/>
      </c>
      <c r="O60" s="4" t="str">
        <f>IF($A60="","",COUNTIFS(RawData[Date],$A60,RawData[Slot],12))</f>
        <v/>
      </c>
      <c r="P60" s="4" t="str">
        <f>IF($A60="","",COUNTIFS(RawData[Date],$A60,RawData[Slot],13))</f>
        <v/>
      </c>
      <c r="Q60" s="4" t="str">
        <f>IF($A60="","",COUNTIFS(RawData[Date],$A60,RawData[Slot],14))</f>
        <v/>
      </c>
      <c r="R60" s="4" t="str">
        <f>IF($A60="","",COUNTIFS(RawData[Date],$A60,RawData[Slot],15))</f>
        <v/>
      </c>
      <c r="S60" s="4" t="str">
        <f>IF($A60="","",COUNTIFS(RawData[Date],$A60,RawData[Slot],16))</f>
        <v/>
      </c>
      <c r="T60" s="4" t="str">
        <f>IF($A60="","",COUNTIFS(RawData[Date],$A60,RawData[Slot],17))</f>
        <v/>
      </c>
      <c r="U60" s="4" t="str">
        <f>IF($A60="","",COUNTIFS(RawData[Date],$A60,RawData[Slot],18))</f>
        <v/>
      </c>
      <c r="V60" s="4" t="str">
        <f>IF($A60="","",COUNTIFS(RawData[Date],$A60,RawData[Slot],19))</f>
        <v/>
      </c>
      <c r="W60" s="4" t="str">
        <f>IF($A60="","",COUNTIFS(RawData[Date],$A60,RawData[Slot],20))</f>
        <v/>
      </c>
      <c r="X60" s="4" t="str">
        <f>IF($A60="","",COUNTIFS(RawData[Date],$A60,RawData[Slot],21))</f>
        <v/>
      </c>
      <c r="Y60" s="4" t="str">
        <f>IF($A60="","",COUNTIFS(RawData[Date],$A60,RawData[Slot],22))</f>
        <v/>
      </c>
      <c r="Z60" s="4" t="str">
        <f>IF($A60="","",COUNTIFS(RawData[Date],$A60,RawData[Slot],23))</f>
        <v/>
      </c>
      <c r="AA60" s="4" t="str">
        <f>IF($A60="","",COUNTIFS(RawData[Date],$A60,RawData[Slot],24))</f>
        <v/>
      </c>
      <c r="AB60" s="4" t="str">
        <f>IF($A60="","",COUNTIFS(RawData[Date],$A60,RawData[Slot],25))</f>
        <v/>
      </c>
      <c r="AC60" s="4" t="str">
        <f>IF($A60="","",COUNTIFS(RawData[Date],$A60,RawData[Slot],26))</f>
        <v/>
      </c>
      <c r="AD60" s="4" t="str">
        <f>IF($A60="","",COUNTIFS(RawData[Date],$A60,RawData[Slot],27))</f>
        <v/>
      </c>
      <c r="AE60" s="4" t="str">
        <f>IF($A60="","",COUNTIFS(RawData[Date],$A60,RawData[Slot],28))</f>
        <v/>
      </c>
      <c r="AF60" s="4" t="str">
        <f>IF($A60="","",COUNTIFS(RawData[Date],$A60,RawData[Slot],29))</f>
        <v/>
      </c>
      <c r="AG60" s="4" t="str">
        <f>IF($A60="","",COUNTIFS(RawData[Date],$A60,RawData[Slot],30))</f>
        <v/>
      </c>
      <c r="AH60" s="4" t="str">
        <f>IF($A60="","",COUNTIFS(RawData[Date],$A60,RawData[Slot],31))</f>
        <v/>
      </c>
      <c r="AI60" s="4" t="str">
        <f>IF($A60="","",COUNTIFS(RawData[Date],$A60,RawData[Slot],32))</f>
        <v/>
      </c>
      <c r="AJ60" s="4" t="str">
        <f>IF($A60="","",COUNTIFS(RawData[Date],$A60,RawData[Slot],33))</f>
        <v/>
      </c>
      <c r="AK60" s="4" t="str">
        <f>IF($A60="","",COUNTIFS(RawData[Date],$A60,RawData[Slot],34))</f>
        <v/>
      </c>
      <c r="AL60" s="4" t="str">
        <f>IF($A60="","",COUNTIFS(RawData[Date],$A60,RawData[Slot],35))</f>
        <v/>
      </c>
      <c r="AM60" s="4" t="str">
        <f>IF($A60="","",COUNTIFS(RawData[Date],$A60,RawData[Slot],36))</f>
        <v/>
      </c>
      <c r="AN60" s="4" t="str">
        <f>IF($A60="","",COUNTIFS(RawData[Date],$A60,RawData[Slot],37))</f>
        <v/>
      </c>
      <c r="AO60" s="4" t="str">
        <f>IF($A60="","",COUNTIFS(RawData[Date],$A60,RawData[Slot],38))</f>
        <v/>
      </c>
      <c r="AP60" s="4" t="str">
        <f>IF($A60="","",COUNTIFS(RawData[Date],$A60,RawData[Slot],39))</f>
        <v/>
      </c>
      <c r="AQ60" s="4" t="str">
        <f>IF($A60="","",COUNTIFS(RawData[Date],$A60,RawData[Slot],40))</f>
        <v/>
      </c>
      <c r="AR60" s="4" t="str">
        <f>IF($A60="","",COUNTIFS(RawData[Date],$A60,RawData[Slot],41))</f>
        <v/>
      </c>
      <c r="AS60" s="4" t="str">
        <f>IF($A60="","",COUNTIFS(RawData[Date],$A60,RawData[Slot],42))</f>
        <v/>
      </c>
      <c r="AT60" s="4" t="str">
        <f>IF($A60="","",COUNTIFS(RawData[Date],$A60,RawData[Slot],43))</f>
        <v/>
      </c>
      <c r="AU60" s="4" t="str">
        <f>IF($A60="","",COUNTIFS(RawData[Date],$A60,RawData[Slot],44))</f>
        <v/>
      </c>
      <c r="AV60" s="4" t="str">
        <f>IF($A60="","",COUNTIFS(RawData[Date],$A60,RawData[Slot],45))</f>
        <v/>
      </c>
      <c r="AW60" s="4" t="str">
        <f>IF($A60="","",COUNTIFS(RawData[Date],$A60,RawData[Slot],46))</f>
        <v/>
      </c>
      <c r="AX60" s="4" t="str">
        <f>IF($A60="","",COUNTIFS(RawData[Date],$A60,RawData[Slot],47))</f>
        <v/>
      </c>
      <c r="AY60" s="4" t="str">
        <f t="shared" si="3"/>
        <v/>
      </c>
    </row>
    <row r="61" spans="1:51" x14ac:dyDescent="0.25">
      <c r="A61" s="7"/>
      <c r="B61" s="4" t="str">
        <f t="shared" si="2"/>
        <v/>
      </c>
      <c r="C61" s="4" t="str">
        <f>IF($A61="","",COUNTIFS(RawData[Date],$A61,RawData[Slot],0))</f>
        <v/>
      </c>
      <c r="D61" s="4" t="str">
        <f>IF($A61="","",COUNTIFS(RawData[Date],$A61,RawData[Slot],1))</f>
        <v/>
      </c>
      <c r="E61" s="4" t="str">
        <f>IF($A61="","",COUNTIFS(RawData[Date],$A61,RawData[Slot],2))</f>
        <v/>
      </c>
      <c r="F61" s="4" t="str">
        <f>IF($A61="","",COUNTIFS(RawData[Date],$A61,RawData[Slot],3))</f>
        <v/>
      </c>
      <c r="G61" s="4" t="str">
        <f>IF($A61="","",COUNTIFS(RawData[Date],$A61,RawData[Slot],4))</f>
        <v/>
      </c>
      <c r="H61" s="4" t="str">
        <f>IF($A61="","",COUNTIFS(RawData[Date],$A61,RawData[Slot],5))</f>
        <v/>
      </c>
      <c r="I61" s="4" t="str">
        <f>IF($A61="","",COUNTIFS(RawData[Date],$A61,RawData[Slot],6))</f>
        <v/>
      </c>
      <c r="J61" s="4" t="str">
        <f>IF($A61="","",COUNTIFS(RawData[Date],$A61,RawData[Slot],7))</f>
        <v/>
      </c>
      <c r="K61" s="4" t="str">
        <f>IF($A61="","",COUNTIFS(RawData[Date],$A61,RawData[Slot],8))</f>
        <v/>
      </c>
      <c r="L61" s="4" t="str">
        <f>IF($A61="","",COUNTIFS(RawData[Date],$A61,RawData[Slot],9))</f>
        <v/>
      </c>
      <c r="M61" s="4" t="str">
        <f>IF($A61="","",COUNTIFS(RawData[Date],$A61,RawData[Slot],10))</f>
        <v/>
      </c>
      <c r="N61" s="4" t="str">
        <f>IF($A61="","",COUNTIFS(RawData[Date],$A61,RawData[Slot],11))</f>
        <v/>
      </c>
      <c r="O61" s="4" t="str">
        <f>IF($A61="","",COUNTIFS(RawData[Date],$A61,RawData[Slot],12))</f>
        <v/>
      </c>
      <c r="P61" s="4" t="str">
        <f>IF($A61="","",COUNTIFS(RawData[Date],$A61,RawData[Slot],13))</f>
        <v/>
      </c>
      <c r="Q61" s="4" t="str">
        <f>IF($A61="","",COUNTIFS(RawData[Date],$A61,RawData[Slot],14))</f>
        <v/>
      </c>
      <c r="R61" s="4" t="str">
        <f>IF($A61="","",COUNTIFS(RawData[Date],$A61,RawData[Slot],15))</f>
        <v/>
      </c>
      <c r="S61" s="4" t="str">
        <f>IF($A61="","",COUNTIFS(RawData[Date],$A61,RawData[Slot],16))</f>
        <v/>
      </c>
      <c r="T61" s="4" t="str">
        <f>IF($A61="","",COUNTIFS(RawData[Date],$A61,RawData[Slot],17))</f>
        <v/>
      </c>
      <c r="U61" s="4" t="str">
        <f>IF($A61="","",COUNTIFS(RawData[Date],$A61,RawData[Slot],18))</f>
        <v/>
      </c>
      <c r="V61" s="4" t="str">
        <f>IF($A61="","",COUNTIFS(RawData[Date],$A61,RawData[Slot],19))</f>
        <v/>
      </c>
      <c r="W61" s="4" t="str">
        <f>IF($A61="","",COUNTIFS(RawData[Date],$A61,RawData[Slot],20))</f>
        <v/>
      </c>
      <c r="X61" s="4" t="str">
        <f>IF($A61="","",COUNTIFS(RawData[Date],$A61,RawData[Slot],21))</f>
        <v/>
      </c>
      <c r="Y61" s="4" t="str">
        <f>IF($A61="","",COUNTIFS(RawData[Date],$A61,RawData[Slot],22))</f>
        <v/>
      </c>
      <c r="Z61" s="4" t="str">
        <f>IF($A61="","",COUNTIFS(RawData[Date],$A61,RawData[Slot],23))</f>
        <v/>
      </c>
      <c r="AA61" s="4" t="str">
        <f>IF($A61="","",COUNTIFS(RawData[Date],$A61,RawData[Slot],24))</f>
        <v/>
      </c>
      <c r="AB61" s="4" t="str">
        <f>IF($A61="","",COUNTIFS(RawData[Date],$A61,RawData[Slot],25))</f>
        <v/>
      </c>
      <c r="AC61" s="4" t="str">
        <f>IF($A61="","",COUNTIFS(RawData[Date],$A61,RawData[Slot],26))</f>
        <v/>
      </c>
      <c r="AD61" s="4" t="str">
        <f>IF($A61="","",COUNTIFS(RawData[Date],$A61,RawData[Slot],27))</f>
        <v/>
      </c>
      <c r="AE61" s="4" t="str">
        <f>IF($A61="","",COUNTIFS(RawData[Date],$A61,RawData[Slot],28))</f>
        <v/>
      </c>
      <c r="AF61" s="4" t="str">
        <f>IF($A61="","",COUNTIFS(RawData[Date],$A61,RawData[Slot],29))</f>
        <v/>
      </c>
      <c r="AG61" s="4" t="str">
        <f>IF($A61="","",COUNTIFS(RawData[Date],$A61,RawData[Slot],30))</f>
        <v/>
      </c>
      <c r="AH61" s="4" t="str">
        <f>IF($A61="","",COUNTIFS(RawData[Date],$A61,RawData[Slot],31))</f>
        <v/>
      </c>
      <c r="AI61" s="4" t="str">
        <f>IF($A61="","",COUNTIFS(RawData[Date],$A61,RawData[Slot],32))</f>
        <v/>
      </c>
      <c r="AJ61" s="4" t="str">
        <f>IF($A61="","",COUNTIFS(RawData[Date],$A61,RawData[Slot],33))</f>
        <v/>
      </c>
      <c r="AK61" s="4" t="str">
        <f>IF($A61="","",COUNTIFS(RawData[Date],$A61,RawData[Slot],34))</f>
        <v/>
      </c>
      <c r="AL61" s="4" t="str">
        <f>IF($A61="","",COUNTIFS(RawData[Date],$A61,RawData[Slot],35))</f>
        <v/>
      </c>
      <c r="AM61" s="4" t="str">
        <f>IF($A61="","",COUNTIFS(RawData[Date],$A61,RawData[Slot],36))</f>
        <v/>
      </c>
      <c r="AN61" s="4" t="str">
        <f>IF($A61="","",COUNTIFS(RawData[Date],$A61,RawData[Slot],37))</f>
        <v/>
      </c>
      <c r="AO61" s="4" t="str">
        <f>IF($A61="","",COUNTIFS(RawData[Date],$A61,RawData[Slot],38))</f>
        <v/>
      </c>
      <c r="AP61" s="4" t="str">
        <f>IF($A61="","",COUNTIFS(RawData[Date],$A61,RawData[Slot],39))</f>
        <v/>
      </c>
      <c r="AQ61" s="4" t="str">
        <f>IF($A61="","",COUNTIFS(RawData[Date],$A61,RawData[Slot],40))</f>
        <v/>
      </c>
      <c r="AR61" s="4" t="str">
        <f>IF($A61="","",COUNTIFS(RawData[Date],$A61,RawData[Slot],41))</f>
        <v/>
      </c>
      <c r="AS61" s="4" t="str">
        <f>IF($A61="","",COUNTIFS(RawData[Date],$A61,RawData[Slot],42))</f>
        <v/>
      </c>
      <c r="AT61" s="4" t="str">
        <f>IF($A61="","",COUNTIFS(RawData[Date],$A61,RawData[Slot],43))</f>
        <v/>
      </c>
      <c r="AU61" s="4" t="str">
        <f>IF($A61="","",COUNTIFS(RawData[Date],$A61,RawData[Slot],44))</f>
        <v/>
      </c>
      <c r="AV61" s="4" t="str">
        <f>IF($A61="","",COUNTIFS(RawData[Date],$A61,RawData[Slot],45))</f>
        <v/>
      </c>
      <c r="AW61" s="4" t="str">
        <f>IF($A61="","",COUNTIFS(RawData[Date],$A61,RawData[Slot],46))</f>
        <v/>
      </c>
      <c r="AX61" s="4" t="str">
        <f>IF($A61="","",COUNTIFS(RawData[Date],$A61,RawData[Slot],47))</f>
        <v/>
      </c>
      <c r="AY61" s="4" t="str">
        <f t="shared" si="3"/>
        <v/>
      </c>
    </row>
    <row r="62" spans="1:51" x14ac:dyDescent="0.25">
      <c r="A62" s="7"/>
      <c r="B62" s="4" t="str">
        <f t="shared" si="2"/>
        <v/>
      </c>
      <c r="C62" s="4" t="str">
        <f>IF($A62="","",COUNTIFS(RawData[Date],$A62,RawData[Slot],0))</f>
        <v/>
      </c>
      <c r="D62" s="4" t="str">
        <f>IF($A62="","",COUNTIFS(RawData[Date],$A62,RawData[Slot],1))</f>
        <v/>
      </c>
      <c r="E62" s="4" t="str">
        <f>IF($A62="","",COUNTIFS(RawData[Date],$A62,RawData[Slot],2))</f>
        <v/>
      </c>
      <c r="F62" s="4" t="str">
        <f>IF($A62="","",COUNTIFS(RawData[Date],$A62,RawData[Slot],3))</f>
        <v/>
      </c>
      <c r="G62" s="4" t="str">
        <f>IF($A62="","",COUNTIFS(RawData[Date],$A62,RawData[Slot],4))</f>
        <v/>
      </c>
      <c r="H62" s="4" t="str">
        <f>IF($A62="","",COUNTIFS(RawData[Date],$A62,RawData[Slot],5))</f>
        <v/>
      </c>
      <c r="I62" s="4" t="str">
        <f>IF($A62="","",COUNTIFS(RawData[Date],$A62,RawData[Slot],6))</f>
        <v/>
      </c>
      <c r="J62" s="4" t="str">
        <f>IF($A62="","",COUNTIFS(RawData[Date],$A62,RawData[Slot],7))</f>
        <v/>
      </c>
      <c r="K62" s="4" t="str">
        <f>IF($A62="","",COUNTIFS(RawData[Date],$A62,RawData[Slot],8))</f>
        <v/>
      </c>
      <c r="L62" s="4" t="str">
        <f>IF($A62="","",COUNTIFS(RawData[Date],$A62,RawData[Slot],9))</f>
        <v/>
      </c>
      <c r="M62" s="4" t="str">
        <f>IF($A62="","",COUNTIFS(RawData[Date],$A62,RawData[Slot],10))</f>
        <v/>
      </c>
      <c r="N62" s="4" t="str">
        <f>IF($A62="","",COUNTIFS(RawData[Date],$A62,RawData[Slot],11))</f>
        <v/>
      </c>
      <c r="O62" s="4" t="str">
        <f>IF($A62="","",COUNTIFS(RawData[Date],$A62,RawData[Slot],12))</f>
        <v/>
      </c>
      <c r="P62" s="4" t="str">
        <f>IF($A62="","",COUNTIFS(RawData[Date],$A62,RawData[Slot],13))</f>
        <v/>
      </c>
      <c r="Q62" s="4" t="str">
        <f>IF($A62="","",COUNTIFS(RawData[Date],$A62,RawData[Slot],14))</f>
        <v/>
      </c>
      <c r="R62" s="4" t="str">
        <f>IF($A62="","",COUNTIFS(RawData[Date],$A62,RawData[Slot],15))</f>
        <v/>
      </c>
      <c r="S62" s="4" t="str">
        <f>IF($A62="","",COUNTIFS(RawData[Date],$A62,RawData[Slot],16))</f>
        <v/>
      </c>
      <c r="T62" s="4" t="str">
        <f>IF($A62="","",COUNTIFS(RawData[Date],$A62,RawData[Slot],17))</f>
        <v/>
      </c>
      <c r="U62" s="4" t="str">
        <f>IF($A62="","",COUNTIFS(RawData[Date],$A62,RawData[Slot],18))</f>
        <v/>
      </c>
      <c r="V62" s="4" t="str">
        <f>IF($A62="","",COUNTIFS(RawData[Date],$A62,RawData[Slot],19))</f>
        <v/>
      </c>
      <c r="W62" s="4" t="str">
        <f>IF($A62="","",COUNTIFS(RawData[Date],$A62,RawData[Slot],20))</f>
        <v/>
      </c>
      <c r="X62" s="4" t="str">
        <f>IF($A62="","",COUNTIFS(RawData[Date],$A62,RawData[Slot],21))</f>
        <v/>
      </c>
      <c r="Y62" s="4" t="str">
        <f>IF($A62="","",COUNTIFS(RawData[Date],$A62,RawData[Slot],22))</f>
        <v/>
      </c>
      <c r="Z62" s="4" t="str">
        <f>IF($A62="","",COUNTIFS(RawData[Date],$A62,RawData[Slot],23))</f>
        <v/>
      </c>
      <c r="AA62" s="4" t="str">
        <f>IF($A62="","",COUNTIFS(RawData[Date],$A62,RawData[Slot],24))</f>
        <v/>
      </c>
      <c r="AB62" s="4" t="str">
        <f>IF($A62="","",COUNTIFS(RawData[Date],$A62,RawData[Slot],25))</f>
        <v/>
      </c>
      <c r="AC62" s="4" t="str">
        <f>IF($A62="","",COUNTIFS(RawData[Date],$A62,RawData[Slot],26))</f>
        <v/>
      </c>
      <c r="AD62" s="4" t="str">
        <f>IF($A62="","",COUNTIFS(RawData[Date],$A62,RawData[Slot],27))</f>
        <v/>
      </c>
      <c r="AE62" s="4" t="str">
        <f>IF($A62="","",COUNTIFS(RawData[Date],$A62,RawData[Slot],28))</f>
        <v/>
      </c>
      <c r="AF62" s="4" t="str">
        <f>IF($A62="","",COUNTIFS(RawData[Date],$A62,RawData[Slot],29))</f>
        <v/>
      </c>
      <c r="AG62" s="4" t="str">
        <f>IF($A62="","",COUNTIFS(RawData[Date],$A62,RawData[Slot],30))</f>
        <v/>
      </c>
      <c r="AH62" s="4" t="str">
        <f>IF($A62="","",COUNTIFS(RawData[Date],$A62,RawData[Slot],31))</f>
        <v/>
      </c>
      <c r="AI62" s="4" t="str">
        <f>IF($A62="","",COUNTIFS(RawData[Date],$A62,RawData[Slot],32))</f>
        <v/>
      </c>
      <c r="AJ62" s="4" t="str">
        <f>IF($A62="","",COUNTIFS(RawData[Date],$A62,RawData[Slot],33))</f>
        <v/>
      </c>
      <c r="AK62" s="4" t="str">
        <f>IF($A62="","",COUNTIFS(RawData[Date],$A62,RawData[Slot],34))</f>
        <v/>
      </c>
      <c r="AL62" s="4" t="str">
        <f>IF($A62="","",COUNTIFS(RawData[Date],$A62,RawData[Slot],35))</f>
        <v/>
      </c>
      <c r="AM62" s="4" t="str">
        <f>IF($A62="","",COUNTIFS(RawData[Date],$A62,RawData[Slot],36))</f>
        <v/>
      </c>
      <c r="AN62" s="4" t="str">
        <f>IF($A62="","",COUNTIFS(RawData[Date],$A62,RawData[Slot],37))</f>
        <v/>
      </c>
      <c r="AO62" s="4" t="str">
        <f>IF($A62="","",COUNTIFS(RawData[Date],$A62,RawData[Slot],38))</f>
        <v/>
      </c>
      <c r="AP62" s="4" t="str">
        <f>IF($A62="","",COUNTIFS(RawData[Date],$A62,RawData[Slot],39))</f>
        <v/>
      </c>
      <c r="AQ62" s="4" t="str">
        <f>IF($A62="","",COUNTIFS(RawData[Date],$A62,RawData[Slot],40))</f>
        <v/>
      </c>
      <c r="AR62" s="4" t="str">
        <f>IF($A62="","",COUNTIFS(RawData[Date],$A62,RawData[Slot],41))</f>
        <v/>
      </c>
      <c r="AS62" s="4" t="str">
        <f>IF($A62="","",COUNTIFS(RawData[Date],$A62,RawData[Slot],42))</f>
        <v/>
      </c>
      <c r="AT62" s="4" t="str">
        <f>IF($A62="","",COUNTIFS(RawData[Date],$A62,RawData[Slot],43))</f>
        <v/>
      </c>
      <c r="AU62" s="4" t="str">
        <f>IF($A62="","",COUNTIFS(RawData[Date],$A62,RawData[Slot],44))</f>
        <v/>
      </c>
      <c r="AV62" s="4" t="str">
        <f>IF($A62="","",COUNTIFS(RawData[Date],$A62,RawData[Slot],45))</f>
        <v/>
      </c>
      <c r="AW62" s="4" t="str">
        <f>IF($A62="","",COUNTIFS(RawData[Date],$A62,RawData[Slot],46))</f>
        <v/>
      </c>
      <c r="AX62" s="4" t="str">
        <f>IF($A62="","",COUNTIFS(RawData[Date],$A62,RawData[Slot],47))</f>
        <v/>
      </c>
      <c r="AY62" s="4" t="str">
        <f t="shared" si="3"/>
        <v/>
      </c>
    </row>
    <row r="63" spans="1:51" x14ac:dyDescent="0.25">
      <c r="A63" s="7"/>
      <c r="B63" s="4" t="str">
        <f t="shared" si="2"/>
        <v/>
      </c>
      <c r="C63" s="4" t="str">
        <f>IF($A63="","",COUNTIFS(RawData[Date],$A63,RawData[Slot],0))</f>
        <v/>
      </c>
      <c r="D63" s="4" t="str">
        <f>IF($A63="","",COUNTIFS(RawData[Date],$A63,RawData[Slot],1))</f>
        <v/>
      </c>
      <c r="E63" s="4" t="str">
        <f>IF($A63="","",COUNTIFS(RawData[Date],$A63,RawData[Slot],2))</f>
        <v/>
      </c>
      <c r="F63" s="4" t="str">
        <f>IF($A63="","",COUNTIFS(RawData[Date],$A63,RawData[Slot],3))</f>
        <v/>
      </c>
      <c r="G63" s="4" t="str">
        <f>IF($A63="","",COUNTIFS(RawData[Date],$A63,RawData[Slot],4))</f>
        <v/>
      </c>
      <c r="H63" s="4" t="str">
        <f>IF($A63="","",COUNTIFS(RawData[Date],$A63,RawData[Slot],5))</f>
        <v/>
      </c>
      <c r="I63" s="4" t="str">
        <f>IF($A63="","",COUNTIFS(RawData[Date],$A63,RawData[Slot],6))</f>
        <v/>
      </c>
      <c r="J63" s="4" t="str">
        <f>IF($A63="","",COUNTIFS(RawData[Date],$A63,RawData[Slot],7))</f>
        <v/>
      </c>
      <c r="K63" s="4" t="str">
        <f>IF($A63="","",COUNTIFS(RawData[Date],$A63,RawData[Slot],8))</f>
        <v/>
      </c>
      <c r="L63" s="4" t="str">
        <f>IF($A63="","",COUNTIFS(RawData[Date],$A63,RawData[Slot],9))</f>
        <v/>
      </c>
      <c r="M63" s="4" t="str">
        <f>IF($A63="","",COUNTIFS(RawData[Date],$A63,RawData[Slot],10))</f>
        <v/>
      </c>
      <c r="N63" s="4" t="str">
        <f>IF($A63="","",COUNTIFS(RawData[Date],$A63,RawData[Slot],11))</f>
        <v/>
      </c>
      <c r="O63" s="4" t="str">
        <f>IF($A63="","",COUNTIFS(RawData[Date],$A63,RawData[Slot],12))</f>
        <v/>
      </c>
      <c r="P63" s="4" t="str">
        <f>IF($A63="","",COUNTIFS(RawData[Date],$A63,RawData[Slot],13))</f>
        <v/>
      </c>
      <c r="Q63" s="4" t="str">
        <f>IF($A63="","",COUNTIFS(RawData[Date],$A63,RawData[Slot],14))</f>
        <v/>
      </c>
      <c r="R63" s="4" t="str">
        <f>IF($A63="","",COUNTIFS(RawData[Date],$A63,RawData[Slot],15))</f>
        <v/>
      </c>
      <c r="S63" s="4" t="str">
        <f>IF($A63="","",COUNTIFS(RawData[Date],$A63,RawData[Slot],16))</f>
        <v/>
      </c>
      <c r="T63" s="4" t="str">
        <f>IF($A63="","",COUNTIFS(RawData[Date],$A63,RawData[Slot],17))</f>
        <v/>
      </c>
      <c r="U63" s="4" t="str">
        <f>IF($A63="","",COUNTIFS(RawData[Date],$A63,RawData[Slot],18))</f>
        <v/>
      </c>
      <c r="V63" s="4" t="str">
        <f>IF($A63="","",COUNTIFS(RawData[Date],$A63,RawData[Slot],19))</f>
        <v/>
      </c>
      <c r="W63" s="4" t="str">
        <f>IF($A63="","",COUNTIFS(RawData[Date],$A63,RawData[Slot],20))</f>
        <v/>
      </c>
      <c r="X63" s="4" t="str">
        <f>IF($A63="","",COUNTIFS(RawData[Date],$A63,RawData[Slot],21))</f>
        <v/>
      </c>
      <c r="Y63" s="4" t="str">
        <f>IF($A63="","",COUNTIFS(RawData[Date],$A63,RawData[Slot],22))</f>
        <v/>
      </c>
      <c r="Z63" s="4" t="str">
        <f>IF($A63="","",COUNTIFS(RawData[Date],$A63,RawData[Slot],23))</f>
        <v/>
      </c>
      <c r="AA63" s="4" t="str">
        <f>IF($A63="","",COUNTIFS(RawData[Date],$A63,RawData[Slot],24))</f>
        <v/>
      </c>
      <c r="AB63" s="4" t="str">
        <f>IF($A63="","",COUNTIFS(RawData[Date],$A63,RawData[Slot],25))</f>
        <v/>
      </c>
      <c r="AC63" s="4" t="str">
        <f>IF($A63="","",COUNTIFS(RawData[Date],$A63,RawData[Slot],26))</f>
        <v/>
      </c>
      <c r="AD63" s="4" t="str">
        <f>IF($A63="","",COUNTIFS(RawData[Date],$A63,RawData[Slot],27))</f>
        <v/>
      </c>
      <c r="AE63" s="4" t="str">
        <f>IF($A63="","",COUNTIFS(RawData[Date],$A63,RawData[Slot],28))</f>
        <v/>
      </c>
      <c r="AF63" s="4" t="str">
        <f>IF($A63="","",COUNTIFS(RawData[Date],$A63,RawData[Slot],29))</f>
        <v/>
      </c>
      <c r="AG63" s="4" t="str">
        <f>IF($A63="","",COUNTIFS(RawData[Date],$A63,RawData[Slot],30))</f>
        <v/>
      </c>
      <c r="AH63" s="4" t="str">
        <f>IF($A63="","",COUNTIFS(RawData[Date],$A63,RawData[Slot],31))</f>
        <v/>
      </c>
      <c r="AI63" s="4" t="str">
        <f>IF($A63="","",COUNTIFS(RawData[Date],$A63,RawData[Slot],32))</f>
        <v/>
      </c>
      <c r="AJ63" s="4" t="str">
        <f>IF($A63="","",COUNTIFS(RawData[Date],$A63,RawData[Slot],33))</f>
        <v/>
      </c>
      <c r="AK63" s="4" t="str">
        <f>IF($A63="","",COUNTIFS(RawData[Date],$A63,RawData[Slot],34))</f>
        <v/>
      </c>
      <c r="AL63" s="4" t="str">
        <f>IF($A63="","",COUNTIFS(RawData[Date],$A63,RawData[Slot],35))</f>
        <v/>
      </c>
      <c r="AM63" s="4" t="str">
        <f>IF($A63="","",COUNTIFS(RawData[Date],$A63,RawData[Slot],36))</f>
        <v/>
      </c>
      <c r="AN63" s="4" t="str">
        <f>IF($A63="","",COUNTIFS(RawData[Date],$A63,RawData[Slot],37))</f>
        <v/>
      </c>
      <c r="AO63" s="4" t="str">
        <f>IF($A63="","",COUNTIFS(RawData[Date],$A63,RawData[Slot],38))</f>
        <v/>
      </c>
      <c r="AP63" s="4" t="str">
        <f>IF($A63="","",COUNTIFS(RawData[Date],$A63,RawData[Slot],39))</f>
        <v/>
      </c>
      <c r="AQ63" s="4" t="str">
        <f>IF($A63="","",COUNTIFS(RawData[Date],$A63,RawData[Slot],40))</f>
        <v/>
      </c>
      <c r="AR63" s="4" t="str">
        <f>IF($A63="","",COUNTIFS(RawData[Date],$A63,RawData[Slot],41))</f>
        <v/>
      </c>
      <c r="AS63" s="4" t="str">
        <f>IF($A63="","",COUNTIFS(RawData[Date],$A63,RawData[Slot],42))</f>
        <v/>
      </c>
      <c r="AT63" s="4" t="str">
        <f>IF($A63="","",COUNTIFS(RawData[Date],$A63,RawData[Slot],43))</f>
        <v/>
      </c>
      <c r="AU63" s="4" t="str">
        <f>IF($A63="","",COUNTIFS(RawData[Date],$A63,RawData[Slot],44))</f>
        <v/>
      </c>
      <c r="AV63" s="4" t="str">
        <f>IF($A63="","",COUNTIFS(RawData[Date],$A63,RawData[Slot],45))</f>
        <v/>
      </c>
      <c r="AW63" s="4" t="str">
        <f>IF($A63="","",COUNTIFS(RawData[Date],$A63,RawData[Slot],46))</f>
        <v/>
      </c>
      <c r="AX63" s="4" t="str">
        <f>IF($A63="","",COUNTIFS(RawData[Date],$A63,RawData[Slot],47))</f>
        <v/>
      </c>
      <c r="AY63" s="4" t="str">
        <f t="shared" si="3"/>
        <v/>
      </c>
    </row>
    <row r="64" spans="1:51" x14ac:dyDescent="0.25">
      <c r="A64" s="7"/>
      <c r="B64" s="4" t="str">
        <f t="shared" si="2"/>
        <v/>
      </c>
      <c r="C64" s="4" t="str">
        <f>IF($A64="","",COUNTIFS(RawData[Date],$A64,RawData[Slot],0))</f>
        <v/>
      </c>
      <c r="D64" s="4" t="str">
        <f>IF($A64="","",COUNTIFS(RawData[Date],$A64,RawData[Slot],1))</f>
        <v/>
      </c>
      <c r="E64" s="4" t="str">
        <f>IF($A64="","",COUNTIFS(RawData[Date],$A64,RawData[Slot],2))</f>
        <v/>
      </c>
      <c r="F64" s="4" t="str">
        <f>IF($A64="","",COUNTIFS(RawData[Date],$A64,RawData[Slot],3))</f>
        <v/>
      </c>
      <c r="G64" s="4" t="str">
        <f>IF($A64="","",COUNTIFS(RawData[Date],$A64,RawData[Slot],4))</f>
        <v/>
      </c>
      <c r="H64" s="4" t="str">
        <f>IF($A64="","",COUNTIFS(RawData[Date],$A64,RawData[Slot],5))</f>
        <v/>
      </c>
      <c r="I64" s="4" t="str">
        <f>IF($A64="","",COUNTIFS(RawData[Date],$A64,RawData[Slot],6))</f>
        <v/>
      </c>
      <c r="J64" s="4" t="str">
        <f>IF($A64="","",COUNTIFS(RawData[Date],$A64,RawData[Slot],7))</f>
        <v/>
      </c>
      <c r="K64" s="4" t="str">
        <f>IF($A64="","",COUNTIFS(RawData[Date],$A64,RawData[Slot],8))</f>
        <v/>
      </c>
      <c r="L64" s="4" t="str">
        <f>IF($A64="","",COUNTIFS(RawData[Date],$A64,RawData[Slot],9))</f>
        <v/>
      </c>
      <c r="M64" s="4" t="str">
        <f>IF($A64="","",COUNTIFS(RawData[Date],$A64,RawData[Slot],10))</f>
        <v/>
      </c>
      <c r="N64" s="4" t="str">
        <f>IF($A64="","",COUNTIFS(RawData[Date],$A64,RawData[Slot],11))</f>
        <v/>
      </c>
      <c r="O64" s="4" t="str">
        <f>IF($A64="","",COUNTIFS(RawData[Date],$A64,RawData[Slot],12))</f>
        <v/>
      </c>
      <c r="P64" s="4" t="str">
        <f>IF($A64="","",COUNTIFS(RawData[Date],$A64,RawData[Slot],13))</f>
        <v/>
      </c>
      <c r="Q64" s="4" t="str">
        <f>IF($A64="","",COUNTIFS(RawData[Date],$A64,RawData[Slot],14))</f>
        <v/>
      </c>
      <c r="R64" s="4" t="str">
        <f>IF($A64="","",COUNTIFS(RawData[Date],$A64,RawData[Slot],15))</f>
        <v/>
      </c>
      <c r="S64" s="4" t="str">
        <f>IF($A64="","",COUNTIFS(RawData[Date],$A64,RawData[Slot],16))</f>
        <v/>
      </c>
      <c r="T64" s="4" t="str">
        <f>IF($A64="","",COUNTIFS(RawData[Date],$A64,RawData[Slot],17))</f>
        <v/>
      </c>
      <c r="U64" s="4" t="str">
        <f>IF($A64="","",COUNTIFS(RawData[Date],$A64,RawData[Slot],18))</f>
        <v/>
      </c>
      <c r="V64" s="4" t="str">
        <f>IF($A64="","",COUNTIFS(RawData[Date],$A64,RawData[Slot],19))</f>
        <v/>
      </c>
      <c r="W64" s="4" t="str">
        <f>IF($A64="","",COUNTIFS(RawData[Date],$A64,RawData[Slot],20))</f>
        <v/>
      </c>
      <c r="X64" s="4" t="str">
        <f>IF($A64="","",COUNTIFS(RawData[Date],$A64,RawData[Slot],21))</f>
        <v/>
      </c>
      <c r="Y64" s="4" t="str">
        <f>IF($A64="","",COUNTIFS(RawData[Date],$A64,RawData[Slot],22))</f>
        <v/>
      </c>
      <c r="Z64" s="4" t="str">
        <f>IF($A64="","",COUNTIFS(RawData[Date],$A64,RawData[Slot],23))</f>
        <v/>
      </c>
      <c r="AA64" s="4" t="str">
        <f>IF($A64="","",COUNTIFS(RawData[Date],$A64,RawData[Slot],24))</f>
        <v/>
      </c>
      <c r="AB64" s="4" t="str">
        <f>IF($A64="","",COUNTIFS(RawData[Date],$A64,RawData[Slot],25))</f>
        <v/>
      </c>
      <c r="AC64" s="4" t="str">
        <f>IF($A64="","",COUNTIFS(RawData[Date],$A64,RawData[Slot],26))</f>
        <v/>
      </c>
      <c r="AD64" s="4" t="str">
        <f>IF($A64="","",COUNTIFS(RawData[Date],$A64,RawData[Slot],27))</f>
        <v/>
      </c>
      <c r="AE64" s="4" t="str">
        <f>IF($A64="","",COUNTIFS(RawData[Date],$A64,RawData[Slot],28))</f>
        <v/>
      </c>
      <c r="AF64" s="4" t="str">
        <f>IF($A64="","",COUNTIFS(RawData[Date],$A64,RawData[Slot],29))</f>
        <v/>
      </c>
      <c r="AG64" s="4" t="str">
        <f>IF($A64="","",COUNTIFS(RawData[Date],$A64,RawData[Slot],30))</f>
        <v/>
      </c>
      <c r="AH64" s="4" t="str">
        <f>IF($A64="","",COUNTIFS(RawData[Date],$A64,RawData[Slot],31))</f>
        <v/>
      </c>
      <c r="AI64" s="4" t="str">
        <f>IF($A64="","",COUNTIFS(RawData[Date],$A64,RawData[Slot],32))</f>
        <v/>
      </c>
      <c r="AJ64" s="4" t="str">
        <f>IF($A64="","",COUNTIFS(RawData[Date],$A64,RawData[Slot],33))</f>
        <v/>
      </c>
      <c r="AK64" s="4" t="str">
        <f>IF($A64="","",COUNTIFS(RawData[Date],$A64,RawData[Slot],34))</f>
        <v/>
      </c>
      <c r="AL64" s="4" t="str">
        <f>IF($A64="","",COUNTIFS(RawData[Date],$A64,RawData[Slot],35))</f>
        <v/>
      </c>
      <c r="AM64" s="4" t="str">
        <f>IF($A64="","",COUNTIFS(RawData[Date],$A64,RawData[Slot],36))</f>
        <v/>
      </c>
      <c r="AN64" s="4" t="str">
        <f>IF($A64="","",COUNTIFS(RawData[Date],$A64,RawData[Slot],37))</f>
        <v/>
      </c>
      <c r="AO64" s="4" t="str">
        <f>IF($A64="","",COUNTIFS(RawData[Date],$A64,RawData[Slot],38))</f>
        <v/>
      </c>
      <c r="AP64" s="4" t="str">
        <f>IF($A64="","",COUNTIFS(RawData[Date],$A64,RawData[Slot],39))</f>
        <v/>
      </c>
      <c r="AQ64" s="4" t="str">
        <f>IF($A64="","",COUNTIFS(RawData[Date],$A64,RawData[Slot],40))</f>
        <v/>
      </c>
      <c r="AR64" s="4" t="str">
        <f>IF($A64="","",COUNTIFS(RawData[Date],$A64,RawData[Slot],41))</f>
        <v/>
      </c>
      <c r="AS64" s="4" t="str">
        <f>IF($A64="","",COUNTIFS(RawData[Date],$A64,RawData[Slot],42))</f>
        <v/>
      </c>
      <c r="AT64" s="4" t="str">
        <f>IF($A64="","",COUNTIFS(RawData[Date],$A64,RawData[Slot],43))</f>
        <v/>
      </c>
      <c r="AU64" s="4" t="str">
        <f>IF($A64="","",COUNTIFS(RawData[Date],$A64,RawData[Slot],44))</f>
        <v/>
      </c>
      <c r="AV64" s="4" t="str">
        <f>IF($A64="","",COUNTIFS(RawData[Date],$A64,RawData[Slot],45))</f>
        <v/>
      </c>
      <c r="AW64" s="4" t="str">
        <f>IF($A64="","",COUNTIFS(RawData[Date],$A64,RawData[Slot],46))</f>
        <v/>
      </c>
      <c r="AX64" s="4" t="str">
        <f>IF($A64="","",COUNTIFS(RawData[Date],$A64,RawData[Slot],47))</f>
        <v/>
      </c>
      <c r="AY64" s="4" t="str">
        <f t="shared" si="3"/>
        <v/>
      </c>
    </row>
    <row r="65" spans="1:51" x14ac:dyDescent="0.25">
      <c r="A65" s="7"/>
      <c r="B65" s="4" t="str">
        <f t="shared" si="2"/>
        <v/>
      </c>
      <c r="C65" s="4" t="str">
        <f>IF($A65="","",COUNTIFS(RawData[Date],$A65,RawData[Slot],0))</f>
        <v/>
      </c>
      <c r="D65" s="4" t="str">
        <f>IF($A65="","",COUNTIFS(RawData[Date],$A65,RawData[Slot],1))</f>
        <v/>
      </c>
      <c r="E65" s="4" t="str">
        <f>IF($A65="","",COUNTIFS(RawData[Date],$A65,RawData[Slot],2))</f>
        <v/>
      </c>
      <c r="F65" s="4" t="str">
        <f>IF($A65="","",COUNTIFS(RawData[Date],$A65,RawData[Slot],3))</f>
        <v/>
      </c>
      <c r="G65" s="4" t="str">
        <f>IF($A65="","",COUNTIFS(RawData[Date],$A65,RawData[Slot],4))</f>
        <v/>
      </c>
      <c r="H65" s="4" t="str">
        <f>IF($A65="","",COUNTIFS(RawData[Date],$A65,RawData[Slot],5))</f>
        <v/>
      </c>
      <c r="I65" s="4" t="str">
        <f>IF($A65="","",COUNTIFS(RawData[Date],$A65,RawData[Slot],6))</f>
        <v/>
      </c>
      <c r="J65" s="4" t="str">
        <f>IF($A65="","",COUNTIFS(RawData[Date],$A65,RawData[Slot],7))</f>
        <v/>
      </c>
      <c r="K65" s="4" t="str">
        <f>IF($A65="","",COUNTIFS(RawData[Date],$A65,RawData[Slot],8))</f>
        <v/>
      </c>
      <c r="L65" s="4" t="str">
        <f>IF($A65="","",COUNTIFS(RawData[Date],$A65,RawData[Slot],9))</f>
        <v/>
      </c>
      <c r="M65" s="4" t="str">
        <f>IF($A65="","",COUNTIFS(RawData[Date],$A65,RawData[Slot],10))</f>
        <v/>
      </c>
      <c r="N65" s="4" t="str">
        <f>IF($A65="","",COUNTIFS(RawData[Date],$A65,RawData[Slot],11))</f>
        <v/>
      </c>
      <c r="O65" s="4" t="str">
        <f>IF($A65="","",COUNTIFS(RawData[Date],$A65,RawData[Slot],12))</f>
        <v/>
      </c>
      <c r="P65" s="4" t="str">
        <f>IF($A65="","",COUNTIFS(RawData[Date],$A65,RawData[Slot],13))</f>
        <v/>
      </c>
      <c r="Q65" s="4" t="str">
        <f>IF($A65="","",COUNTIFS(RawData[Date],$A65,RawData[Slot],14))</f>
        <v/>
      </c>
      <c r="R65" s="4" t="str">
        <f>IF($A65="","",COUNTIFS(RawData[Date],$A65,RawData[Slot],15))</f>
        <v/>
      </c>
      <c r="S65" s="4" t="str">
        <f>IF($A65="","",COUNTIFS(RawData[Date],$A65,RawData[Slot],16))</f>
        <v/>
      </c>
      <c r="T65" s="4" t="str">
        <f>IF($A65="","",COUNTIFS(RawData[Date],$A65,RawData[Slot],17))</f>
        <v/>
      </c>
      <c r="U65" s="4" t="str">
        <f>IF($A65="","",COUNTIFS(RawData[Date],$A65,RawData[Slot],18))</f>
        <v/>
      </c>
      <c r="V65" s="4" t="str">
        <f>IF($A65="","",COUNTIFS(RawData[Date],$A65,RawData[Slot],19))</f>
        <v/>
      </c>
      <c r="W65" s="4" t="str">
        <f>IF($A65="","",COUNTIFS(RawData[Date],$A65,RawData[Slot],20))</f>
        <v/>
      </c>
      <c r="X65" s="4" t="str">
        <f>IF($A65="","",COUNTIFS(RawData[Date],$A65,RawData[Slot],21))</f>
        <v/>
      </c>
      <c r="Y65" s="4" t="str">
        <f>IF($A65="","",COUNTIFS(RawData[Date],$A65,RawData[Slot],22))</f>
        <v/>
      </c>
      <c r="Z65" s="4" t="str">
        <f>IF($A65="","",COUNTIFS(RawData[Date],$A65,RawData[Slot],23))</f>
        <v/>
      </c>
      <c r="AA65" s="4" t="str">
        <f>IF($A65="","",COUNTIFS(RawData[Date],$A65,RawData[Slot],24))</f>
        <v/>
      </c>
      <c r="AB65" s="4" t="str">
        <f>IF($A65="","",COUNTIFS(RawData[Date],$A65,RawData[Slot],25))</f>
        <v/>
      </c>
      <c r="AC65" s="4" t="str">
        <f>IF($A65="","",COUNTIFS(RawData[Date],$A65,RawData[Slot],26))</f>
        <v/>
      </c>
      <c r="AD65" s="4" t="str">
        <f>IF($A65="","",COUNTIFS(RawData[Date],$A65,RawData[Slot],27))</f>
        <v/>
      </c>
      <c r="AE65" s="4" t="str">
        <f>IF($A65="","",COUNTIFS(RawData[Date],$A65,RawData[Slot],28))</f>
        <v/>
      </c>
      <c r="AF65" s="4" t="str">
        <f>IF($A65="","",COUNTIFS(RawData[Date],$A65,RawData[Slot],29))</f>
        <v/>
      </c>
      <c r="AG65" s="4" t="str">
        <f>IF($A65="","",COUNTIFS(RawData[Date],$A65,RawData[Slot],30))</f>
        <v/>
      </c>
      <c r="AH65" s="4" t="str">
        <f>IF($A65="","",COUNTIFS(RawData[Date],$A65,RawData[Slot],31))</f>
        <v/>
      </c>
      <c r="AI65" s="4" t="str">
        <f>IF($A65="","",COUNTIFS(RawData[Date],$A65,RawData[Slot],32))</f>
        <v/>
      </c>
      <c r="AJ65" s="4" t="str">
        <f>IF($A65="","",COUNTIFS(RawData[Date],$A65,RawData[Slot],33))</f>
        <v/>
      </c>
      <c r="AK65" s="4" t="str">
        <f>IF($A65="","",COUNTIFS(RawData[Date],$A65,RawData[Slot],34))</f>
        <v/>
      </c>
      <c r="AL65" s="4" t="str">
        <f>IF($A65="","",COUNTIFS(RawData[Date],$A65,RawData[Slot],35))</f>
        <v/>
      </c>
      <c r="AM65" s="4" t="str">
        <f>IF($A65="","",COUNTIFS(RawData[Date],$A65,RawData[Slot],36))</f>
        <v/>
      </c>
      <c r="AN65" s="4" t="str">
        <f>IF($A65="","",COUNTIFS(RawData[Date],$A65,RawData[Slot],37))</f>
        <v/>
      </c>
      <c r="AO65" s="4" t="str">
        <f>IF($A65="","",COUNTIFS(RawData[Date],$A65,RawData[Slot],38))</f>
        <v/>
      </c>
      <c r="AP65" s="4" t="str">
        <f>IF($A65="","",COUNTIFS(RawData[Date],$A65,RawData[Slot],39))</f>
        <v/>
      </c>
      <c r="AQ65" s="4" t="str">
        <f>IF($A65="","",COUNTIFS(RawData[Date],$A65,RawData[Slot],40))</f>
        <v/>
      </c>
      <c r="AR65" s="4" t="str">
        <f>IF($A65="","",COUNTIFS(RawData[Date],$A65,RawData[Slot],41))</f>
        <v/>
      </c>
      <c r="AS65" s="4" t="str">
        <f>IF($A65="","",COUNTIFS(RawData[Date],$A65,RawData[Slot],42))</f>
        <v/>
      </c>
      <c r="AT65" s="4" t="str">
        <f>IF($A65="","",COUNTIFS(RawData[Date],$A65,RawData[Slot],43))</f>
        <v/>
      </c>
      <c r="AU65" s="4" t="str">
        <f>IF($A65="","",COUNTIFS(RawData[Date],$A65,RawData[Slot],44))</f>
        <v/>
      </c>
      <c r="AV65" s="4" t="str">
        <f>IF($A65="","",COUNTIFS(RawData[Date],$A65,RawData[Slot],45))</f>
        <v/>
      </c>
      <c r="AW65" s="4" t="str">
        <f>IF($A65="","",COUNTIFS(RawData[Date],$A65,RawData[Slot],46))</f>
        <v/>
      </c>
      <c r="AX65" s="4" t="str">
        <f>IF($A65="","",COUNTIFS(RawData[Date],$A65,RawData[Slot],47))</f>
        <v/>
      </c>
      <c r="AY65" s="4" t="str">
        <f t="shared" si="3"/>
        <v/>
      </c>
    </row>
    <row r="66" spans="1:51" x14ac:dyDescent="0.25">
      <c r="A66" s="7"/>
      <c r="B66" s="4" t="str">
        <f t="shared" si="2"/>
        <v/>
      </c>
      <c r="C66" s="4" t="str">
        <f>IF($A66="","",COUNTIFS(RawData[Date],$A66,RawData[Slot],0))</f>
        <v/>
      </c>
      <c r="D66" s="4" t="str">
        <f>IF($A66="","",COUNTIFS(RawData[Date],$A66,RawData[Slot],1))</f>
        <v/>
      </c>
      <c r="E66" s="4" t="str">
        <f>IF($A66="","",COUNTIFS(RawData[Date],$A66,RawData[Slot],2))</f>
        <v/>
      </c>
      <c r="F66" s="4" t="str">
        <f>IF($A66="","",COUNTIFS(RawData[Date],$A66,RawData[Slot],3))</f>
        <v/>
      </c>
      <c r="G66" s="4" t="str">
        <f>IF($A66="","",COUNTIFS(RawData[Date],$A66,RawData[Slot],4))</f>
        <v/>
      </c>
      <c r="H66" s="4" t="str">
        <f>IF($A66="","",COUNTIFS(RawData[Date],$A66,RawData[Slot],5))</f>
        <v/>
      </c>
      <c r="I66" s="4" t="str">
        <f>IF($A66="","",COUNTIFS(RawData[Date],$A66,RawData[Slot],6))</f>
        <v/>
      </c>
      <c r="J66" s="4" t="str">
        <f>IF($A66="","",COUNTIFS(RawData[Date],$A66,RawData[Slot],7))</f>
        <v/>
      </c>
      <c r="K66" s="4" t="str">
        <f>IF($A66="","",COUNTIFS(RawData[Date],$A66,RawData[Slot],8))</f>
        <v/>
      </c>
      <c r="L66" s="4" t="str">
        <f>IF($A66="","",COUNTIFS(RawData[Date],$A66,RawData[Slot],9))</f>
        <v/>
      </c>
      <c r="M66" s="4" t="str">
        <f>IF($A66="","",COUNTIFS(RawData[Date],$A66,RawData[Slot],10))</f>
        <v/>
      </c>
      <c r="N66" s="4" t="str">
        <f>IF($A66="","",COUNTIFS(RawData[Date],$A66,RawData[Slot],11))</f>
        <v/>
      </c>
      <c r="O66" s="4" t="str">
        <f>IF($A66="","",COUNTIFS(RawData[Date],$A66,RawData[Slot],12))</f>
        <v/>
      </c>
      <c r="P66" s="4" t="str">
        <f>IF($A66="","",COUNTIFS(RawData[Date],$A66,RawData[Slot],13))</f>
        <v/>
      </c>
      <c r="Q66" s="4" t="str">
        <f>IF($A66="","",COUNTIFS(RawData[Date],$A66,RawData[Slot],14))</f>
        <v/>
      </c>
      <c r="R66" s="4" t="str">
        <f>IF($A66="","",COUNTIFS(RawData[Date],$A66,RawData[Slot],15))</f>
        <v/>
      </c>
      <c r="S66" s="4" t="str">
        <f>IF($A66="","",COUNTIFS(RawData[Date],$A66,RawData[Slot],16))</f>
        <v/>
      </c>
      <c r="T66" s="4" t="str">
        <f>IF($A66="","",COUNTIFS(RawData[Date],$A66,RawData[Slot],17))</f>
        <v/>
      </c>
      <c r="U66" s="4" t="str">
        <f>IF($A66="","",COUNTIFS(RawData[Date],$A66,RawData[Slot],18))</f>
        <v/>
      </c>
      <c r="V66" s="4" t="str">
        <f>IF($A66="","",COUNTIFS(RawData[Date],$A66,RawData[Slot],19))</f>
        <v/>
      </c>
      <c r="W66" s="4" t="str">
        <f>IF($A66="","",COUNTIFS(RawData[Date],$A66,RawData[Slot],20))</f>
        <v/>
      </c>
      <c r="X66" s="4" t="str">
        <f>IF($A66="","",COUNTIFS(RawData[Date],$A66,RawData[Slot],21))</f>
        <v/>
      </c>
      <c r="Y66" s="4" t="str">
        <f>IF($A66="","",COUNTIFS(RawData[Date],$A66,RawData[Slot],22))</f>
        <v/>
      </c>
      <c r="Z66" s="4" t="str">
        <f>IF($A66="","",COUNTIFS(RawData[Date],$A66,RawData[Slot],23))</f>
        <v/>
      </c>
      <c r="AA66" s="4" t="str">
        <f>IF($A66="","",COUNTIFS(RawData[Date],$A66,RawData[Slot],24))</f>
        <v/>
      </c>
      <c r="AB66" s="4" t="str">
        <f>IF($A66="","",COUNTIFS(RawData[Date],$A66,RawData[Slot],25))</f>
        <v/>
      </c>
      <c r="AC66" s="4" t="str">
        <f>IF($A66="","",COUNTIFS(RawData[Date],$A66,RawData[Slot],26))</f>
        <v/>
      </c>
      <c r="AD66" s="4" t="str">
        <f>IF($A66="","",COUNTIFS(RawData[Date],$A66,RawData[Slot],27))</f>
        <v/>
      </c>
      <c r="AE66" s="4" t="str">
        <f>IF($A66="","",COUNTIFS(RawData[Date],$A66,RawData[Slot],28))</f>
        <v/>
      </c>
      <c r="AF66" s="4" t="str">
        <f>IF($A66="","",COUNTIFS(RawData[Date],$A66,RawData[Slot],29))</f>
        <v/>
      </c>
      <c r="AG66" s="4" t="str">
        <f>IF($A66="","",COUNTIFS(RawData[Date],$A66,RawData[Slot],30))</f>
        <v/>
      </c>
      <c r="AH66" s="4" t="str">
        <f>IF($A66="","",COUNTIFS(RawData[Date],$A66,RawData[Slot],31))</f>
        <v/>
      </c>
      <c r="AI66" s="4" t="str">
        <f>IF($A66="","",COUNTIFS(RawData[Date],$A66,RawData[Slot],32))</f>
        <v/>
      </c>
      <c r="AJ66" s="4" t="str">
        <f>IF($A66="","",COUNTIFS(RawData[Date],$A66,RawData[Slot],33))</f>
        <v/>
      </c>
      <c r="AK66" s="4" t="str">
        <f>IF($A66="","",COUNTIFS(RawData[Date],$A66,RawData[Slot],34))</f>
        <v/>
      </c>
      <c r="AL66" s="4" t="str">
        <f>IF($A66="","",COUNTIFS(RawData[Date],$A66,RawData[Slot],35))</f>
        <v/>
      </c>
      <c r="AM66" s="4" t="str">
        <f>IF($A66="","",COUNTIFS(RawData[Date],$A66,RawData[Slot],36))</f>
        <v/>
      </c>
      <c r="AN66" s="4" t="str">
        <f>IF($A66="","",COUNTIFS(RawData[Date],$A66,RawData[Slot],37))</f>
        <v/>
      </c>
      <c r="AO66" s="4" t="str">
        <f>IF($A66="","",COUNTIFS(RawData[Date],$A66,RawData[Slot],38))</f>
        <v/>
      </c>
      <c r="AP66" s="4" t="str">
        <f>IF($A66="","",COUNTIFS(RawData[Date],$A66,RawData[Slot],39))</f>
        <v/>
      </c>
      <c r="AQ66" s="4" t="str">
        <f>IF($A66="","",COUNTIFS(RawData[Date],$A66,RawData[Slot],40))</f>
        <v/>
      </c>
      <c r="AR66" s="4" t="str">
        <f>IF($A66="","",COUNTIFS(RawData[Date],$A66,RawData[Slot],41))</f>
        <v/>
      </c>
      <c r="AS66" s="4" t="str">
        <f>IF($A66="","",COUNTIFS(RawData[Date],$A66,RawData[Slot],42))</f>
        <v/>
      </c>
      <c r="AT66" s="4" t="str">
        <f>IF($A66="","",COUNTIFS(RawData[Date],$A66,RawData[Slot],43))</f>
        <v/>
      </c>
      <c r="AU66" s="4" t="str">
        <f>IF($A66="","",COUNTIFS(RawData[Date],$A66,RawData[Slot],44))</f>
        <v/>
      </c>
      <c r="AV66" s="4" t="str">
        <f>IF($A66="","",COUNTIFS(RawData[Date],$A66,RawData[Slot],45))</f>
        <v/>
      </c>
      <c r="AW66" s="4" t="str">
        <f>IF($A66="","",COUNTIFS(RawData[Date],$A66,RawData[Slot],46))</f>
        <v/>
      </c>
      <c r="AX66" s="4" t="str">
        <f>IF($A66="","",COUNTIFS(RawData[Date],$A66,RawData[Slot],47))</f>
        <v/>
      </c>
      <c r="AY66" s="4" t="str">
        <f t="shared" si="3"/>
        <v/>
      </c>
    </row>
    <row r="67" spans="1:51" x14ac:dyDescent="0.25">
      <c r="A67" s="7"/>
      <c r="B67" s="4" t="str">
        <f t="shared" si="2"/>
        <v/>
      </c>
      <c r="C67" s="4" t="str">
        <f>IF($A67="","",COUNTIFS(RawData[Date],$A67,RawData[Slot],0))</f>
        <v/>
      </c>
      <c r="D67" s="4" t="str">
        <f>IF($A67="","",COUNTIFS(RawData[Date],$A67,RawData[Slot],1))</f>
        <v/>
      </c>
      <c r="E67" s="4" t="str">
        <f>IF($A67="","",COUNTIFS(RawData[Date],$A67,RawData[Slot],2))</f>
        <v/>
      </c>
      <c r="F67" s="4" t="str">
        <f>IF($A67="","",COUNTIFS(RawData[Date],$A67,RawData[Slot],3))</f>
        <v/>
      </c>
      <c r="G67" s="4" t="str">
        <f>IF($A67="","",COUNTIFS(RawData[Date],$A67,RawData[Slot],4))</f>
        <v/>
      </c>
      <c r="H67" s="4" t="str">
        <f>IF($A67="","",COUNTIFS(RawData[Date],$A67,RawData[Slot],5))</f>
        <v/>
      </c>
      <c r="I67" s="4" t="str">
        <f>IF($A67="","",COUNTIFS(RawData[Date],$A67,RawData[Slot],6))</f>
        <v/>
      </c>
      <c r="J67" s="4" t="str">
        <f>IF($A67="","",COUNTIFS(RawData[Date],$A67,RawData[Slot],7))</f>
        <v/>
      </c>
      <c r="K67" s="4" t="str">
        <f>IF($A67="","",COUNTIFS(RawData[Date],$A67,RawData[Slot],8))</f>
        <v/>
      </c>
      <c r="L67" s="4" t="str">
        <f>IF($A67="","",COUNTIFS(RawData[Date],$A67,RawData[Slot],9))</f>
        <v/>
      </c>
      <c r="M67" s="4" t="str">
        <f>IF($A67="","",COUNTIFS(RawData[Date],$A67,RawData[Slot],10))</f>
        <v/>
      </c>
      <c r="N67" s="4" t="str">
        <f>IF($A67="","",COUNTIFS(RawData[Date],$A67,RawData[Slot],11))</f>
        <v/>
      </c>
      <c r="O67" s="4" t="str">
        <f>IF($A67="","",COUNTIFS(RawData[Date],$A67,RawData[Slot],12))</f>
        <v/>
      </c>
      <c r="P67" s="4" t="str">
        <f>IF($A67="","",COUNTIFS(RawData[Date],$A67,RawData[Slot],13))</f>
        <v/>
      </c>
      <c r="Q67" s="4" t="str">
        <f>IF($A67="","",COUNTIFS(RawData[Date],$A67,RawData[Slot],14))</f>
        <v/>
      </c>
      <c r="R67" s="4" t="str">
        <f>IF($A67="","",COUNTIFS(RawData[Date],$A67,RawData[Slot],15))</f>
        <v/>
      </c>
      <c r="S67" s="4" t="str">
        <f>IF($A67="","",COUNTIFS(RawData[Date],$A67,RawData[Slot],16))</f>
        <v/>
      </c>
      <c r="T67" s="4" t="str">
        <f>IF($A67="","",COUNTIFS(RawData[Date],$A67,RawData[Slot],17))</f>
        <v/>
      </c>
      <c r="U67" s="4" t="str">
        <f>IF($A67="","",COUNTIFS(RawData[Date],$A67,RawData[Slot],18))</f>
        <v/>
      </c>
      <c r="V67" s="4" t="str">
        <f>IF($A67="","",COUNTIFS(RawData[Date],$A67,RawData[Slot],19))</f>
        <v/>
      </c>
      <c r="W67" s="4" t="str">
        <f>IF($A67="","",COUNTIFS(RawData[Date],$A67,RawData[Slot],20))</f>
        <v/>
      </c>
      <c r="X67" s="4" t="str">
        <f>IF($A67="","",COUNTIFS(RawData[Date],$A67,RawData[Slot],21))</f>
        <v/>
      </c>
      <c r="Y67" s="4" t="str">
        <f>IF($A67="","",COUNTIFS(RawData[Date],$A67,RawData[Slot],22))</f>
        <v/>
      </c>
      <c r="Z67" s="4" t="str">
        <f>IF($A67="","",COUNTIFS(RawData[Date],$A67,RawData[Slot],23))</f>
        <v/>
      </c>
      <c r="AA67" s="4" t="str">
        <f>IF($A67="","",COUNTIFS(RawData[Date],$A67,RawData[Slot],24))</f>
        <v/>
      </c>
      <c r="AB67" s="4" t="str">
        <f>IF($A67="","",COUNTIFS(RawData[Date],$A67,RawData[Slot],25))</f>
        <v/>
      </c>
      <c r="AC67" s="4" t="str">
        <f>IF($A67="","",COUNTIFS(RawData[Date],$A67,RawData[Slot],26))</f>
        <v/>
      </c>
      <c r="AD67" s="4" t="str">
        <f>IF($A67="","",COUNTIFS(RawData[Date],$A67,RawData[Slot],27))</f>
        <v/>
      </c>
      <c r="AE67" s="4" t="str">
        <f>IF($A67="","",COUNTIFS(RawData[Date],$A67,RawData[Slot],28))</f>
        <v/>
      </c>
      <c r="AF67" s="4" t="str">
        <f>IF($A67="","",COUNTIFS(RawData[Date],$A67,RawData[Slot],29))</f>
        <v/>
      </c>
      <c r="AG67" s="4" t="str">
        <f>IF($A67="","",COUNTIFS(RawData[Date],$A67,RawData[Slot],30))</f>
        <v/>
      </c>
      <c r="AH67" s="4" t="str">
        <f>IF($A67="","",COUNTIFS(RawData[Date],$A67,RawData[Slot],31))</f>
        <v/>
      </c>
      <c r="AI67" s="4" t="str">
        <f>IF($A67="","",COUNTIFS(RawData[Date],$A67,RawData[Slot],32))</f>
        <v/>
      </c>
      <c r="AJ67" s="4" t="str">
        <f>IF($A67="","",COUNTIFS(RawData[Date],$A67,RawData[Slot],33))</f>
        <v/>
      </c>
      <c r="AK67" s="4" t="str">
        <f>IF($A67="","",COUNTIFS(RawData[Date],$A67,RawData[Slot],34))</f>
        <v/>
      </c>
      <c r="AL67" s="4" t="str">
        <f>IF($A67="","",COUNTIFS(RawData[Date],$A67,RawData[Slot],35))</f>
        <v/>
      </c>
      <c r="AM67" s="4" t="str">
        <f>IF($A67="","",COUNTIFS(RawData[Date],$A67,RawData[Slot],36))</f>
        <v/>
      </c>
      <c r="AN67" s="4" t="str">
        <f>IF($A67="","",COUNTIFS(RawData[Date],$A67,RawData[Slot],37))</f>
        <v/>
      </c>
      <c r="AO67" s="4" t="str">
        <f>IF($A67="","",COUNTIFS(RawData[Date],$A67,RawData[Slot],38))</f>
        <v/>
      </c>
      <c r="AP67" s="4" t="str">
        <f>IF($A67="","",COUNTIFS(RawData[Date],$A67,RawData[Slot],39))</f>
        <v/>
      </c>
      <c r="AQ67" s="4" t="str">
        <f>IF($A67="","",COUNTIFS(RawData[Date],$A67,RawData[Slot],40))</f>
        <v/>
      </c>
      <c r="AR67" s="4" t="str">
        <f>IF($A67="","",COUNTIFS(RawData[Date],$A67,RawData[Slot],41))</f>
        <v/>
      </c>
      <c r="AS67" s="4" t="str">
        <f>IF($A67="","",COUNTIFS(RawData[Date],$A67,RawData[Slot],42))</f>
        <v/>
      </c>
      <c r="AT67" s="4" t="str">
        <f>IF($A67="","",COUNTIFS(RawData[Date],$A67,RawData[Slot],43))</f>
        <v/>
      </c>
      <c r="AU67" s="4" t="str">
        <f>IF($A67="","",COUNTIFS(RawData[Date],$A67,RawData[Slot],44))</f>
        <v/>
      </c>
      <c r="AV67" s="4" t="str">
        <f>IF($A67="","",COUNTIFS(RawData[Date],$A67,RawData[Slot],45))</f>
        <v/>
      </c>
      <c r="AW67" s="4" t="str">
        <f>IF($A67="","",COUNTIFS(RawData[Date],$A67,RawData[Slot],46))</f>
        <v/>
      </c>
      <c r="AX67" s="4" t="str">
        <f>IF($A67="","",COUNTIFS(RawData[Date],$A67,RawData[Slot],47))</f>
        <v/>
      </c>
      <c r="AY67" s="4" t="str">
        <f t="shared" si="3"/>
        <v/>
      </c>
    </row>
    <row r="68" spans="1:51" x14ac:dyDescent="0.25">
      <c r="A68" s="7"/>
      <c r="B68" s="4" t="str">
        <f t="shared" si="2"/>
        <v/>
      </c>
      <c r="C68" s="4" t="str">
        <f>IF($A68="","",COUNTIFS(RawData[Date],$A68,RawData[Slot],0))</f>
        <v/>
      </c>
      <c r="D68" s="4" t="str">
        <f>IF($A68="","",COUNTIFS(RawData[Date],$A68,RawData[Slot],1))</f>
        <v/>
      </c>
      <c r="E68" s="4" t="str">
        <f>IF($A68="","",COUNTIFS(RawData[Date],$A68,RawData[Slot],2))</f>
        <v/>
      </c>
      <c r="F68" s="4" t="str">
        <f>IF($A68="","",COUNTIFS(RawData[Date],$A68,RawData[Slot],3))</f>
        <v/>
      </c>
      <c r="G68" s="4" t="str">
        <f>IF($A68="","",COUNTIFS(RawData[Date],$A68,RawData[Slot],4))</f>
        <v/>
      </c>
      <c r="H68" s="4" t="str">
        <f>IF($A68="","",COUNTIFS(RawData[Date],$A68,RawData[Slot],5))</f>
        <v/>
      </c>
      <c r="I68" s="4" t="str">
        <f>IF($A68="","",COUNTIFS(RawData[Date],$A68,RawData[Slot],6))</f>
        <v/>
      </c>
      <c r="J68" s="4" t="str">
        <f>IF($A68="","",COUNTIFS(RawData[Date],$A68,RawData[Slot],7))</f>
        <v/>
      </c>
      <c r="K68" s="4" t="str">
        <f>IF($A68="","",COUNTIFS(RawData[Date],$A68,RawData[Slot],8))</f>
        <v/>
      </c>
      <c r="L68" s="4" t="str">
        <f>IF($A68="","",COUNTIFS(RawData[Date],$A68,RawData[Slot],9))</f>
        <v/>
      </c>
      <c r="M68" s="4" t="str">
        <f>IF($A68="","",COUNTIFS(RawData[Date],$A68,RawData[Slot],10))</f>
        <v/>
      </c>
      <c r="N68" s="4" t="str">
        <f>IF($A68="","",COUNTIFS(RawData[Date],$A68,RawData[Slot],11))</f>
        <v/>
      </c>
      <c r="O68" s="4" t="str">
        <f>IF($A68="","",COUNTIFS(RawData[Date],$A68,RawData[Slot],12))</f>
        <v/>
      </c>
      <c r="P68" s="4" t="str">
        <f>IF($A68="","",COUNTIFS(RawData[Date],$A68,RawData[Slot],13))</f>
        <v/>
      </c>
      <c r="Q68" s="4" t="str">
        <f>IF($A68="","",COUNTIFS(RawData[Date],$A68,RawData[Slot],14))</f>
        <v/>
      </c>
      <c r="R68" s="4" t="str">
        <f>IF($A68="","",COUNTIFS(RawData[Date],$A68,RawData[Slot],15))</f>
        <v/>
      </c>
      <c r="S68" s="4" t="str">
        <f>IF($A68="","",COUNTIFS(RawData[Date],$A68,RawData[Slot],16))</f>
        <v/>
      </c>
      <c r="T68" s="4" t="str">
        <f>IF($A68="","",COUNTIFS(RawData[Date],$A68,RawData[Slot],17))</f>
        <v/>
      </c>
      <c r="U68" s="4" t="str">
        <f>IF($A68="","",COUNTIFS(RawData[Date],$A68,RawData[Slot],18))</f>
        <v/>
      </c>
      <c r="V68" s="4" t="str">
        <f>IF($A68="","",COUNTIFS(RawData[Date],$A68,RawData[Slot],19))</f>
        <v/>
      </c>
      <c r="W68" s="4" t="str">
        <f>IF($A68="","",COUNTIFS(RawData[Date],$A68,RawData[Slot],20))</f>
        <v/>
      </c>
      <c r="X68" s="4" t="str">
        <f>IF($A68="","",COUNTIFS(RawData[Date],$A68,RawData[Slot],21))</f>
        <v/>
      </c>
      <c r="Y68" s="4" t="str">
        <f>IF($A68="","",COUNTIFS(RawData[Date],$A68,RawData[Slot],22))</f>
        <v/>
      </c>
      <c r="Z68" s="4" t="str">
        <f>IF($A68="","",COUNTIFS(RawData[Date],$A68,RawData[Slot],23))</f>
        <v/>
      </c>
      <c r="AA68" s="4" t="str">
        <f>IF($A68="","",COUNTIFS(RawData[Date],$A68,RawData[Slot],24))</f>
        <v/>
      </c>
      <c r="AB68" s="4" t="str">
        <f>IF($A68="","",COUNTIFS(RawData[Date],$A68,RawData[Slot],25))</f>
        <v/>
      </c>
      <c r="AC68" s="4" t="str">
        <f>IF($A68="","",COUNTIFS(RawData[Date],$A68,RawData[Slot],26))</f>
        <v/>
      </c>
      <c r="AD68" s="4" t="str">
        <f>IF($A68="","",COUNTIFS(RawData[Date],$A68,RawData[Slot],27))</f>
        <v/>
      </c>
      <c r="AE68" s="4" t="str">
        <f>IF($A68="","",COUNTIFS(RawData[Date],$A68,RawData[Slot],28))</f>
        <v/>
      </c>
      <c r="AF68" s="4" t="str">
        <f>IF($A68="","",COUNTIFS(RawData[Date],$A68,RawData[Slot],29))</f>
        <v/>
      </c>
      <c r="AG68" s="4" t="str">
        <f>IF($A68="","",COUNTIFS(RawData[Date],$A68,RawData[Slot],30))</f>
        <v/>
      </c>
      <c r="AH68" s="4" t="str">
        <f>IF($A68="","",COUNTIFS(RawData[Date],$A68,RawData[Slot],31))</f>
        <v/>
      </c>
      <c r="AI68" s="4" t="str">
        <f>IF($A68="","",COUNTIFS(RawData[Date],$A68,RawData[Slot],32))</f>
        <v/>
      </c>
      <c r="AJ68" s="4" t="str">
        <f>IF($A68="","",COUNTIFS(RawData[Date],$A68,RawData[Slot],33))</f>
        <v/>
      </c>
      <c r="AK68" s="4" t="str">
        <f>IF($A68="","",COUNTIFS(RawData[Date],$A68,RawData[Slot],34))</f>
        <v/>
      </c>
      <c r="AL68" s="4" t="str">
        <f>IF($A68="","",COUNTIFS(RawData[Date],$A68,RawData[Slot],35))</f>
        <v/>
      </c>
      <c r="AM68" s="4" t="str">
        <f>IF($A68="","",COUNTIFS(RawData[Date],$A68,RawData[Slot],36))</f>
        <v/>
      </c>
      <c r="AN68" s="4" t="str">
        <f>IF($A68="","",COUNTIFS(RawData[Date],$A68,RawData[Slot],37))</f>
        <v/>
      </c>
      <c r="AO68" s="4" t="str">
        <f>IF($A68="","",COUNTIFS(RawData[Date],$A68,RawData[Slot],38))</f>
        <v/>
      </c>
      <c r="AP68" s="4" t="str">
        <f>IF($A68="","",COUNTIFS(RawData[Date],$A68,RawData[Slot],39))</f>
        <v/>
      </c>
      <c r="AQ68" s="4" t="str">
        <f>IF($A68="","",COUNTIFS(RawData[Date],$A68,RawData[Slot],40))</f>
        <v/>
      </c>
      <c r="AR68" s="4" t="str">
        <f>IF($A68="","",COUNTIFS(RawData[Date],$A68,RawData[Slot],41))</f>
        <v/>
      </c>
      <c r="AS68" s="4" t="str">
        <f>IF($A68="","",COUNTIFS(RawData[Date],$A68,RawData[Slot],42))</f>
        <v/>
      </c>
      <c r="AT68" s="4" t="str">
        <f>IF($A68="","",COUNTIFS(RawData[Date],$A68,RawData[Slot],43))</f>
        <v/>
      </c>
      <c r="AU68" s="4" t="str">
        <f>IF($A68="","",COUNTIFS(RawData[Date],$A68,RawData[Slot],44))</f>
        <v/>
      </c>
      <c r="AV68" s="4" t="str">
        <f>IF($A68="","",COUNTIFS(RawData[Date],$A68,RawData[Slot],45))</f>
        <v/>
      </c>
      <c r="AW68" s="4" t="str">
        <f>IF($A68="","",COUNTIFS(RawData[Date],$A68,RawData[Slot],46))</f>
        <v/>
      </c>
      <c r="AX68" s="4" t="str">
        <f>IF($A68="","",COUNTIFS(RawData[Date],$A68,RawData[Slot],47))</f>
        <v/>
      </c>
      <c r="AY68" s="4" t="str">
        <f t="shared" si="3"/>
        <v/>
      </c>
    </row>
    <row r="69" spans="1:51" x14ac:dyDescent="0.25">
      <c r="A69" s="7"/>
      <c r="B69" s="4" t="str">
        <f t="shared" ref="B69:B100" si="4">IF(A69="","",CHOOSE(WEEKDAY(A69,2),"Monday","Tuesday","Wednesday","Thursday","Friday","Saturday","Sunday"))</f>
        <v/>
      </c>
      <c r="C69" s="4" t="str">
        <f>IF($A69="","",COUNTIFS(RawData[Date],$A69,RawData[Slot],0))</f>
        <v/>
      </c>
      <c r="D69" s="4" t="str">
        <f>IF($A69="","",COUNTIFS(RawData[Date],$A69,RawData[Slot],1))</f>
        <v/>
      </c>
      <c r="E69" s="4" t="str">
        <f>IF($A69="","",COUNTIFS(RawData[Date],$A69,RawData[Slot],2))</f>
        <v/>
      </c>
      <c r="F69" s="4" t="str">
        <f>IF($A69="","",COUNTIFS(RawData[Date],$A69,RawData[Slot],3))</f>
        <v/>
      </c>
      <c r="G69" s="4" t="str">
        <f>IF($A69="","",COUNTIFS(RawData[Date],$A69,RawData[Slot],4))</f>
        <v/>
      </c>
      <c r="H69" s="4" t="str">
        <f>IF($A69="","",COUNTIFS(RawData[Date],$A69,RawData[Slot],5))</f>
        <v/>
      </c>
      <c r="I69" s="4" t="str">
        <f>IF($A69="","",COUNTIFS(RawData[Date],$A69,RawData[Slot],6))</f>
        <v/>
      </c>
      <c r="J69" s="4" t="str">
        <f>IF($A69="","",COUNTIFS(RawData[Date],$A69,RawData[Slot],7))</f>
        <v/>
      </c>
      <c r="K69" s="4" t="str">
        <f>IF($A69="","",COUNTIFS(RawData[Date],$A69,RawData[Slot],8))</f>
        <v/>
      </c>
      <c r="L69" s="4" t="str">
        <f>IF($A69="","",COUNTIFS(RawData[Date],$A69,RawData[Slot],9))</f>
        <v/>
      </c>
      <c r="M69" s="4" t="str">
        <f>IF($A69="","",COUNTIFS(RawData[Date],$A69,RawData[Slot],10))</f>
        <v/>
      </c>
      <c r="N69" s="4" t="str">
        <f>IF($A69="","",COUNTIFS(RawData[Date],$A69,RawData[Slot],11))</f>
        <v/>
      </c>
      <c r="O69" s="4" t="str">
        <f>IF($A69="","",COUNTIFS(RawData[Date],$A69,RawData[Slot],12))</f>
        <v/>
      </c>
      <c r="P69" s="4" t="str">
        <f>IF($A69="","",COUNTIFS(RawData[Date],$A69,RawData[Slot],13))</f>
        <v/>
      </c>
      <c r="Q69" s="4" t="str">
        <f>IF($A69="","",COUNTIFS(RawData[Date],$A69,RawData[Slot],14))</f>
        <v/>
      </c>
      <c r="R69" s="4" t="str">
        <f>IF($A69="","",COUNTIFS(RawData[Date],$A69,RawData[Slot],15))</f>
        <v/>
      </c>
      <c r="S69" s="4" t="str">
        <f>IF($A69="","",COUNTIFS(RawData[Date],$A69,RawData[Slot],16))</f>
        <v/>
      </c>
      <c r="T69" s="4" t="str">
        <f>IF($A69="","",COUNTIFS(RawData[Date],$A69,RawData[Slot],17))</f>
        <v/>
      </c>
      <c r="U69" s="4" t="str">
        <f>IF($A69="","",COUNTIFS(RawData[Date],$A69,RawData[Slot],18))</f>
        <v/>
      </c>
      <c r="V69" s="4" t="str">
        <f>IF($A69="","",COUNTIFS(RawData[Date],$A69,RawData[Slot],19))</f>
        <v/>
      </c>
      <c r="W69" s="4" t="str">
        <f>IF($A69="","",COUNTIFS(RawData[Date],$A69,RawData[Slot],20))</f>
        <v/>
      </c>
      <c r="X69" s="4" t="str">
        <f>IF($A69="","",COUNTIFS(RawData[Date],$A69,RawData[Slot],21))</f>
        <v/>
      </c>
      <c r="Y69" s="4" t="str">
        <f>IF($A69="","",COUNTIFS(RawData[Date],$A69,RawData[Slot],22))</f>
        <v/>
      </c>
      <c r="Z69" s="4" t="str">
        <f>IF($A69="","",COUNTIFS(RawData[Date],$A69,RawData[Slot],23))</f>
        <v/>
      </c>
      <c r="AA69" s="4" t="str">
        <f>IF($A69="","",COUNTIFS(RawData[Date],$A69,RawData[Slot],24))</f>
        <v/>
      </c>
      <c r="AB69" s="4" t="str">
        <f>IF($A69="","",COUNTIFS(RawData[Date],$A69,RawData[Slot],25))</f>
        <v/>
      </c>
      <c r="AC69" s="4" t="str">
        <f>IF($A69="","",COUNTIFS(RawData[Date],$A69,RawData[Slot],26))</f>
        <v/>
      </c>
      <c r="AD69" s="4" t="str">
        <f>IF($A69="","",COUNTIFS(RawData[Date],$A69,RawData[Slot],27))</f>
        <v/>
      </c>
      <c r="AE69" s="4" t="str">
        <f>IF($A69="","",COUNTIFS(RawData[Date],$A69,RawData[Slot],28))</f>
        <v/>
      </c>
      <c r="AF69" s="4" t="str">
        <f>IF($A69="","",COUNTIFS(RawData[Date],$A69,RawData[Slot],29))</f>
        <v/>
      </c>
      <c r="AG69" s="4" t="str">
        <f>IF($A69="","",COUNTIFS(RawData[Date],$A69,RawData[Slot],30))</f>
        <v/>
      </c>
      <c r="AH69" s="4" t="str">
        <f>IF($A69="","",COUNTIFS(RawData[Date],$A69,RawData[Slot],31))</f>
        <v/>
      </c>
      <c r="AI69" s="4" t="str">
        <f>IF($A69="","",COUNTIFS(RawData[Date],$A69,RawData[Slot],32))</f>
        <v/>
      </c>
      <c r="AJ69" s="4" t="str">
        <f>IF($A69="","",COUNTIFS(RawData[Date],$A69,RawData[Slot],33))</f>
        <v/>
      </c>
      <c r="AK69" s="4" t="str">
        <f>IF($A69="","",COUNTIFS(RawData[Date],$A69,RawData[Slot],34))</f>
        <v/>
      </c>
      <c r="AL69" s="4" t="str">
        <f>IF($A69="","",COUNTIFS(RawData[Date],$A69,RawData[Slot],35))</f>
        <v/>
      </c>
      <c r="AM69" s="4" t="str">
        <f>IF($A69="","",COUNTIFS(RawData[Date],$A69,RawData[Slot],36))</f>
        <v/>
      </c>
      <c r="AN69" s="4" t="str">
        <f>IF($A69="","",COUNTIFS(RawData[Date],$A69,RawData[Slot],37))</f>
        <v/>
      </c>
      <c r="AO69" s="4" t="str">
        <f>IF($A69="","",COUNTIFS(RawData[Date],$A69,RawData[Slot],38))</f>
        <v/>
      </c>
      <c r="AP69" s="4" t="str">
        <f>IF($A69="","",COUNTIFS(RawData[Date],$A69,RawData[Slot],39))</f>
        <v/>
      </c>
      <c r="AQ69" s="4" t="str">
        <f>IF($A69="","",COUNTIFS(RawData[Date],$A69,RawData[Slot],40))</f>
        <v/>
      </c>
      <c r="AR69" s="4" t="str">
        <f>IF($A69="","",COUNTIFS(RawData[Date],$A69,RawData[Slot],41))</f>
        <v/>
      </c>
      <c r="AS69" s="4" t="str">
        <f>IF($A69="","",COUNTIFS(RawData[Date],$A69,RawData[Slot],42))</f>
        <v/>
      </c>
      <c r="AT69" s="4" t="str">
        <f>IF($A69="","",COUNTIFS(RawData[Date],$A69,RawData[Slot],43))</f>
        <v/>
      </c>
      <c r="AU69" s="4" t="str">
        <f>IF($A69="","",COUNTIFS(RawData[Date],$A69,RawData[Slot],44))</f>
        <v/>
      </c>
      <c r="AV69" s="4" t="str">
        <f>IF($A69="","",COUNTIFS(RawData[Date],$A69,RawData[Slot],45))</f>
        <v/>
      </c>
      <c r="AW69" s="4" t="str">
        <f>IF($A69="","",COUNTIFS(RawData[Date],$A69,RawData[Slot],46))</f>
        <v/>
      </c>
      <c r="AX69" s="4" t="str">
        <f>IF($A69="","",COUNTIFS(RawData[Date],$A69,RawData[Slot],47))</f>
        <v/>
      </c>
      <c r="AY69" s="4" t="str">
        <f t="shared" ref="AY69:AY100" si="5">IF(A69="","",SUM(C69:AX69))</f>
        <v/>
      </c>
    </row>
    <row r="70" spans="1:51" x14ac:dyDescent="0.25">
      <c r="A70" s="7"/>
      <c r="B70" s="4" t="str">
        <f t="shared" si="4"/>
        <v/>
      </c>
      <c r="C70" s="4" t="str">
        <f>IF($A70="","",COUNTIFS(RawData[Date],$A70,RawData[Slot],0))</f>
        <v/>
      </c>
      <c r="D70" s="4" t="str">
        <f>IF($A70="","",COUNTIFS(RawData[Date],$A70,RawData[Slot],1))</f>
        <v/>
      </c>
      <c r="E70" s="4" t="str">
        <f>IF($A70="","",COUNTIFS(RawData[Date],$A70,RawData[Slot],2))</f>
        <v/>
      </c>
      <c r="F70" s="4" t="str">
        <f>IF($A70="","",COUNTIFS(RawData[Date],$A70,RawData[Slot],3))</f>
        <v/>
      </c>
      <c r="G70" s="4" t="str">
        <f>IF($A70="","",COUNTIFS(RawData[Date],$A70,RawData[Slot],4))</f>
        <v/>
      </c>
      <c r="H70" s="4" t="str">
        <f>IF($A70="","",COUNTIFS(RawData[Date],$A70,RawData[Slot],5))</f>
        <v/>
      </c>
      <c r="I70" s="4" t="str">
        <f>IF($A70="","",COUNTIFS(RawData[Date],$A70,RawData[Slot],6))</f>
        <v/>
      </c>
      <c r="J70" s="4" t="str">
        <f>IF($A70="","",COUNTIFS(RawData[Date],$A70,RawData[Slot],7))</f>
        <v/>
      </c>
      <c r="K70" s="4" t="str">
        <f>IF($A70="","",COUNTIFS(RawData[Date],$A70,RawData[Slot],8))</f>
        <v/>
      </c>
      <c r="L70" s="4" t="str">
        <f>IF($A70="","",COUNTIFS(RawData[Date],$A70,RawData[Slot],9))</f>
        <v/>
      </c>
      <c r="M70" s="4" t="str">
        <f>IF($A70="","",COUNTIFS(RawData[Date],$A70,RawData[Slot],10))</f>
        <v/>
      </c>
      <c r="N70" s="4" t="str">
        <f>IF($A70="","",COUNTIFS(RawData[Date],$A70,RawData[Slot],11))</f>
        <v/>
      </c>
      <c r="O70" s="4" t="str">
        <f>IF($A70="","",COUNTIFS(RawData[Date],$A70,RawData[Slot],12))</f>
        <v/>
      </c>
      <c r="P70" s="4" t="str">
        <f>IF($A70="","",COUNTIFS(RawData[Date],$A70,RawData[Slot],13))</f>
        <v/>
      </c>
      <c r="Q70" s="4" t="str">
        <f>IF($A70="","",COUNTIFS(RawData[Date],$A70,RawData[Slot],14))</f>
        <v/>
      </c>
      <c r="R70" s="4" t="str">
        <f>IF($A70="","",COUNTIFS(RawData[Date],$A70,RawData[Slot],15))</f>
        <v/>
      </c>
      <c r="S70" s="4" t="str">
        <f>IF($A70="","",COUNTIFS(RawData[Date],$A70,RawData[Slot],16))</f>
        <v/>
      </c>
      <c r="T70" s="4" t="str">
        <f>IF($A70="","",COUNTIFS(RawData[Date],$A70,RawData[Slot],17))</f>
        <v/>
      </c>
      <c r="U70" s="4" t="str">
        <f>IF($A70="","",COUNTIFS(RawData[Date],$A70,RawData[Slot],18))</f>
        <v/>
      </c>
      <c r="V70" s="4" t="str">
        <f>IF($A70="","",COUNTIFS(RawData[Date],$A70,RawData[Slot],19))</f>
        <v/>
      </c>
      <c r="W70" s="4" t="str">
        <f>IF($A70="","",COUNTIFS(RawData[Date],$A70,RawData[Slot],20))</f>
        <v/>
      </c>
      <c r="X70" s="4" t="str">
        <f>IF($A70="","",COUNTIFS(RawData[Date],$A70,RawData[Slot],21))</f>
        <v/>
      </c>
      <c r="Y70" s="4" t="str">
        <f>IF($A70="","",COUNTIFS(RawData[Date],$A70,RawData[Slot],22))</f>
        <v/>
      </c>
      <c r="Z70" s="4" t="str">
        <f>IF($A70="","",COUNTIFS(RawData[Date],$A70,RawData[Slot],23))</f>
        <v/>
      </c>
      <c r="AA70" s="4" t="str">
        <f>IF($A70="","",COUNTIFS(RawData[Date],$A70,RawData[Slot],24))</f>
        <v/>
      </c>
      <c r="AB70" s="4" t="str">
        <f>IF($A70="","",COUNTIFS(RawData[Date],$A70,RawData[Slot],25))</f>
        <v/>
      </c>
      <c r="AC70" s="4" t="str">
        <f>IF($A70="","",COUNTIFS(RawData[Date],$A70,RawData[Slot],26))</f>
        <v/>
      </c>
      <c r="AD70" s="4" t="str">
        <f>IF($A70="","",COUNTIFS(RawData[Date],$A70,RawData[Slot],27))</f>
        <v/>
      </c>
      <c r="AE70" s="4" t="str">
        <f>IF($A70="","",COUNTIFS(RawData[Date],$A70,RawData[Slot],28))</f>
        <v/>
      </c>
      <c r="AF70" s="4" t="str">
        <f>IF($A70="","",COUNTIFS(RawData[Date],$A70,RawData[Slot],29))</f>
        <v/>
      </c>
      <c r="AG70" s="4" t="str">
        <f>IF($A70="","",COUNTIFS(RawData[Date],$A70,RawData[Slot],30))</f>
        <v/>
      </c>
      <c r="AH70" s="4" t="str">
        <f>IF($A70="","",COUNTIFS(RawData[Date],$A70,RawData[Slot],31))</f>
        <v/>
      </c>
      <c r="AI70" s="4" t="str">
        <f>IF($A70="","",COUNTIFS(RawData[Date],$A70,RawData[Slot],32))</f>
        <v/>
      </c>
      <c r="AJ70" s="4" t="str">
        <f>IF($A70="","",COUNTIFS(RawData[Date],$A70,RawData[Slot],33))</f>
        <v/>
      </c>
      <c r="AK70" s="4" t="str">
        <f>IF($A70="","",COUNTIFS(RawData[Date],$A70,RawData[Slot],34))</f>
        <v/>
      </c>
      <c r="AL70" s="4" t="str">
        <f>IF($A70="","",COUNTIFS(RawData[Date],$A70,RawData[Slot],35))</f>
        <v/>
      </c>
      <c r="AM70" s="4" t="str">
        <f>IF($A70="","",COUNTIFS(RawData[Date],$A70,RawData[Slot],36))</f>
        <v/>
      </c>
      <c r="AN70" s="4" t="str">
        <f>IF($A70="","",COUNTIFS(RawData[Date],$A70,RawData[Slot],37))</f>
        <v/>
      </c>
      <c r="AO70" s="4" t="str">
        <f>IF($A70="","",COUNTIFS(RawData[Date],$A70,RawData[Slot],38))</f>
        <v/>
      </c>
      <c r="AP70" s="4" t="str">
        <f>IF($A70="","",COUNTIFS(RawData[Date],$A70,RawData[Slot],39))</f>
        <v/>
      </c>
      <c r="AQ70" s="4" t="str">
        <f>IF($A70="","",COUNTIFS(RawData[Date],$A70,RawData[Slot],40))</f>
        <v/>
      </c>
      <c r="AR70" s="4" t="str">
        <f>IF($A70="","",COUNTIFS(RawData[Date],$A70,RawData[Slot],41))</f>
        <v/>
      </c>
      <c r="AS70" s="4" t="str">
        <f>IF($A70="","",COUNTIFS(RawData[Date],$A70,RawData[Slot],42))</f>
        <v/>
      </c>
      <c r="AT70" s="4" t="str">
        <f>IF($A70="","",COUNTIFS(RawData[Date],$A70,RawData[Slot],43))</f>
        <v/>
      </c>
      <c r="AU70" s="4" t="str">
        <f>IF($A70="","",COUNTIFS(RawData[Date],$A70,RawData[Slot],44))</f>
        <v/>
      </c>
      <c r="AV70" s="4" t="str">
        <f>IF($A70="","",COUNTIFS(RawData[Date],$A70,RawData[Slot],45))</f>
        <v/>
      </c>
      <c r="AW70" s="4" t="str">
        <f>IF($A70="","",COUNTIFS(RawData[Date],$A70,RawData[Slot],46))</f>
        <v/>
      </c>
      <c r="AX70" s="4" t="str">
        <f>IF($A70="","",COUNTIFS(RawData[Date],$A70,RawData[Slot],47))</f>
        <v/>
      </c>
      <c r="AY70" s="4" t="str">
        <f t="shared" si="5"/>
        <v/>
      </c>
    </row>
    <row r="71" spans="1:51" x14ac:dyDescent="0.25">
      <c r="A71" s="7"/>
      <c r="B71" s="4" t="str">
        <f t="shared" si="4"/>
        <v/>
      </c>
      <c r="C71" s="4" t="str">
        <f>IF($A71="","",COUNTIFS(RawData[Date],$A71,RawData[Slot],0))</f>
        <v/>
      </c>
      <c r="D71" s="4" t="str">
        <f>IF($A71="","",COUNTIFS(RawData[Date],$A71,RawData[Slot],1))</f>
        <v/>
      </c>
      <c r="E71" s="4" t="str">
        <f>IF($A71="","",COUNTIFS(RawData[Date],$A71,RawData[Slot],2))</f>
        <v/>
      </c>
      <c r="F71" s="4" t="str">
        <f>IF($A71="","",COUNTIFS(RawData[Date],$A71,RawData[Slot],3))</f>
        <v/>
      </c>
      <c r="G71" s="4" t="str">
        <f>IF($A71="","",COUNTIFS(RawData[Date],$A71,RawData[Slot],4))</f>
        <v/>
      </c>
      <c r="H71" s="4" t="str">
        <f>IF($A71="","",COUNTIFS(RawData[Date],$A71,RawData[Slot],5))</f>
        <v/>
      </c>
      <c r="I71" s="4" t="str">
        <f>IF($A71="","",COUNTIFS(RawData[Date],$A71,RawData[Slot],6))</f>
        <v/>
      </c>
      <c r="J71" s="4" t="str">
        <f>IF($A71="","",COUNTIFS(RawData[Date],$A71,RawData[Slot],7))</f>
        <v/>
      </c>
      <c r="K71" s="4" t="str">
        <f>IF($A71="","",COUNTIFS(RawData[Date],$A71,RawData[Slot],8))</f>
        <v/>
      </c>
      <c r="L71" s="4" t="str">
        <f>IF($A71="","",COUNTIFS(RawData[Date],$A71,RawData[Slot],9))</f>
        <v/>
      </c>
      <c r="M71" s="4" t="str">
        <f>IF($A71="","",COUNTIFS(RawData[Date],$A71,RawData[Slot],10))</f>
        <v/>
      </c>
      <c r="N71" s="4" t="str">
        <f>IF($A71="","",COUNTIFS(RawData[Date],$A71,RawData[Slot],11))</f>
        <v/>
      </c>
      <c r="O71" s="4" t="str">
        <f>IF($A71="","",COUNTIFS(RawData[Date],$A71,RawData[Slot],12))</f>
        <v/>
      </c>
      <c r="P71" s="4" t="str">
        <f>IF($A71="","",COUNTIFS(RawData[Date],$A71,RawData[Slot],13))</f>
        <v/>
      </c>
      <c r="Q71" s="4" t="str">
        <f>IF($A71="","",COUNTIFS(RawData[Date],$A71,RawData[Slot],14))</f>
        <v/>
      </c>
      <c r="R71" s="4" t="str">
        <f>IF($A71="","",COUNTIFS(RawData[Date],$A71,RawData[Slot],15))</f>
        <v/>
      </c>
      <c r="S71" s="4" t="str">
        <f>IF($A71="","",COUNTIFS(RawData[Date],$A71,RawData[Slot],16))</f>
        <v/>
      </c>
      <c r="T71" s="4" t="str">
        <f>IF($A71="","",COUNTIFS(RawData[Date],$A71,RawData[Slot],17))</f>
        <v/>
      </c>
      <c r="U71" s="4" t="str">
        <f>IF($A71="","",COUNTIFS(RawData[Date],$A71,RawData[Slot],18))</f>
        <v/>
      </c>
      <c r="V71" s="4" t="str">
        <f>IF($A71="","",COUNTIFS(RawData[Date],$A71,RawData[Slot],19))</f>
        <v/>
      </c>
      <c r="W71" s="4" t="str">
        <f>IF($A71="","",COUNTIFS(RawData[Date],$A71,RawData[Slot],20))</f>
        <v/>
      </c>
      <c r="X71" s="4" t="str">
        <f>IF($A71="","",COUNTIFS(RawData[Date],$A71,RawData[Slot],21))</f>
        <v/>
      </c>
      <c r="Y71" s="4" t="str">
        <f>IF($A71="","",COUNTIFS(RawData[Date],$A71,RawData[Slot],22))</f>
        <v/>
      </c>
      <c r="Z71" s="4" t="str">
        <f>IF($A71="","",COUNTIFS(RawData[Date],$A71,RawData[Slot],23))</f>
        <v/>
      </c>
      <c r="AA71" s="4" t="str">
        <f>IF($A71="","",COUNTIFS(RawData[Date],$A71,RawData[Slot],24))</f>
        <v/>
      </c>
      <c r="AB71" s="4" t="str">
        <f>IF($A71="","",COUNTIFS(RawData[Date],$A71,RawData[Slot],25))</f>
        <v/>
      </c>
      <c r="AC71" s="4" t="str">
        <f>IF($A71="","",COUNTIFS(RawData[Date],$A71,RawData[Slot],26))</f>
        <v/>
      </c>
      <c r="AD71" s="4" t="str">
        <f>IF($A71="","",COUNTIFS(RawData[Date],$A71,RawData[Slot],27))</f>
        <v/>
      </c>
      <c r="AE71" s="4" t="str">
        <f>IF($A71="","",COUNTIFS(RawData[Date],$A71,RawData[Slot],28))</f>
        <v/>
      </c>
      <c r="AF71" s="4" t="str">
        <f>IF($A71="","",COUNTIFS(RawData[Date],$A71,RawData[Slot],29))</f>
        <v/>
      </c>
      <c r="AG71" s="4" t="str">
        <f>IF($A71="","",COUNTIFS(RawData[Date],$A71,RawData[Slot],30))</f>
        <v/>
      </c>
      <c r="AH71" s="4" t="str">
        <f>IF($A71="","",COUNTIFS(RawData[Date],$A71,RawData[Slot],31))</f>
        <v/>
      </c>
      <c r="AI71" s="4" t="str">
        <f>IF($A71="","",COUNTIFS(RawData[Date],$A71,RawData[Slot],32))</f>
        <v/>
      </c>
      <c r="AJ71" s="4" t="str">
        <f>IF($A71="","",COUNTIFS(RawData[Date],$A71,RawData[Slot],33))</f>
        <v/>
      </c>
      <c r="AK71" s="4" t="str">
        <f>IF($A71="","",COUNTIFS(RawData[Date],$A71,RawData[Slot],34))</f>
        <v/>
      </c>
      <c r="AL71" s="4" t="str">
        <f>IF($A71="","",COUNTIFS(RawData[Date],$A71,RawData[Slot],35))</f>
        <v/>
      </c>
      <c r="AM71" s="4" t="str">
        <f>IF($A71="","",COUNTIFS(RawData[Date],$A71,RawData[Slot],36))</f>
        <v/>
      </c>
      <c r="AN71" s="4" t="str">
        <f>IF($A71="","",COUNTIFS(RawData[Date],$A71,RawData[Slot],37))</f>
        <v/>
      </c>
      <c r="AO71" s="4" t="str">
        <f>IF($A71="","",COUNTIFS(RawData[Date],$A71,RawData[Slot],38))</f>
        <v/>
      </c>
      <c r="AP71" s="4" t="str">
        <f>IF($A71="","",COUNTIFS(RawData[Date],$A71,RawData[Slot],39))</f>
        <v/>
      </c>
      <c r="AQ71" s="4" t="str">
        <f>IF($A71="","",COUNTIFS(RawData[Date],$A71,RawData[Slot],40))</f>
        <v/>
      </c>
      <c r="AR71" s="4" t="str">
        <f>IF($A71="","",COUNTIFS(RawData[Date],$A71,RawData[Slot],41))</f>
        <v/>
      </c>
      <c r="AS71" s="4" t="str">
        <f>IF($A71="","",COUNTIFS(RawData[Date],$A71,RawData[Slot],42))</f>
        <v/>
      </c>
      <c r="AT71" s="4" t="str">
        <f>IF($A71="","",COUNTIFS(RawData[Date],$A71,RawData[Slot],43))</f>
        <v/>
      </c>
      <c r="AU71" s="4" t="str">
        <f>IF($A71="","",COUNTIFS(RawData[Date],$A71,RawData[Slot],44))</f>
        <v/>
      </c>
      <c r="AV71" s="4" t="str">
        <f>IF($A71="","",COUNTIFS(RawData[Date],$A71,RawData[Slot],45))</f>
        <v/>
      </c>
      <c r="AW71" s="4" t="str">
        <f>IF($A71="","",COUNTIFS(RawData[Date],$A71,RawData[Slot],46))</f>
        <v/>
      </c>
      <c r="AX71" s="4" t="str">
        <f>IF($A71="","",COUNTIFS(RawData[Date],$A71,RawData[Slot],47))</f>
        <v/>
      </c>
      <c r="AY71" s="4" t="str">
        <f t="shared" si="5"/>
        <v/>
      </c>
    </row>
    <row r="72" spans="1:51" x14ac:dyDescent="0.25">
      <c r="A72" s="7"/>
      <c r="B72" s="4" t="str">
        <f t="shared" si="4"/>
        <v/>
      </c>
      <c r="C72" s="4" t="str">
        <f>IF($A72="","",COUNTIFS(RawData[Date],$A72,RawData[Slot],0))</f>
        <v/>
      </c>
      <c r="D72" s="4" t="str">
        <f>IF($A72="","",COUNTIFS(RawData[Date],$A72,RawData[Slot],1))</f>
        <v/>
      </c>
      <c r="E72" s="4" t="str">
        <f>IF($A72="","",COUNTIFS(RawData[Date],$A72,RawData[Slot],2))</f>
        <v/>
      </c>
      <c r="F72" s="4" t="str">
        <f>IF($A72="","",COUNTIFS(RawData[Date],$A72,RawData[Slot],3))</f>
        <v/>
      </c>
      <c r="G72" s="4" t="str">
        <f>IF($A72="","",COUNTIFS(RawData[Date],$A72,RawData[Slot],4))</f>
        <v/>
      </c>
      <c r="H72" s="4" t="str">
        <f>IF($A72="","",COUNTIFS(RawData[Date],$A72,RawData[Slot],5))</f>
        <v/>
      </c>
      <c r="I72" s="4" t="str">
        <f>IF($A72="","",COUNTIFS(RawData[Date],$A72,RawData[Slot],6))</f>
        <v/>
      </c>
      <c r="J72" s="4" t="str">
        <f>IF($A72="","",COUNTIFS(RawData[Date],$A72,RawData[Slot],7))</f>
        <v/>
      </c>
      <c r="K72" s="4" t="str">
        <f>IF($A72="","",COUNTIFS(RawData[Date],$A72,RawData[Slot],8))</f>
        <v/>
      </c>
      <c r="L72" s="4" t="str">
        <f>IF($A72="","",COUNTIFS(RawData[Date],$A72,RawData[Slot],9))</f>
        <v/>
      </c>
      <c r="M72" s="4" t="str">
        <f>IF($A72="","",COUNTIFS(RawData[Date],$A72,RawData[Slot],10))</f>
        <v/>
      </c>
      <c r="N72" s="4" t="str">
        <f>IF($A72="","",COUNTIFS(RawData[Date],$A72,RawData[Slot],11))</f>
        <v/>
      </c>
      <c r="O72" s="4" t="str">
        <f>IF($A72="","",COUNTIFS(RawData[Date],$A72,RawData[Slot],12))</f>
        <v/>
      </c>
      <c r="P72" s="4" t="str">
        <f>IF($A72="","",COUNTIFS(RawData[Date],$A72,RawData[Slot],13))</f>
        <v/>
      </c>
      <c r="Q72" s="4" t="str">
        <f>IF($A72="","",COUNTIFS(RawData[Date],$A72,RawData[Slot],14))</f>
        <v/>
      </c>
      <c r="R72" s="4" t="str">
        <f>IF($A72="","",COUNTIFS(RawData[Date],$A72,RawData[Slot],15))</f>
        <v/>
      </c>
      <c r="S72" s="4" t="str">
        <f>IF($A72="","",COUNTIFS(RawData[Date],$A72,RawData[Slot],16))</f>
        <v/>
      </c>
      <c r="T72" s="4" t="str">
        <f>IF($A72="","",COUNTIFS(RawData[Date],$A72,RawData[Slot],17))</f>
        <v/>
      </c>
      <c r="U72" s="4" t="str">
        <f>IF($A72="","",COUNTIFS(RawData[Date],$A72,RawData[Slot],18))</f>
        <v/>
      </c>
      <c r="V72" s="4" t="str">
        <f>IF($A72="","",COUNTIFS(RawData[Date],$A72,RawData[Slot],19))</f>
        <v/>
      </c>
      <c r="W72" s="4" t="str">
        <f>IF($A72="","",COUNTIFS(RawData[Date],$A72,RawData[Slot],20))</f>
        <v/>
      </c>
      <c r="X72" s="4" t="str">
        <f>IF($A72="","",COUNTIFS(RawData[Date],$A72,RawData[Slot],21))</f>
        <v/>
      </c>
      <c r="Y72" s="4" t="str">
        <f>IF($A72="","",COUNTIFS(RawData[Date],$A72,RawData[Slot],22))</f>
        <v/>
      </c>
      <c r="Z72" s="4" t="str">
        <f>IF($A72="","",COUNTIFS(RawData[Date],$A72,RawData[Slot],23))</f>
        <v/>
      </c>
      <c r="AA72" s="4" t="str">
        <f>IF($A72="","",COUNTIFS(RawData[Date],$A72,RawData[Slot],24))</f>
        <v/>
      </c>
      <c r="AB72" s="4" t="str">
        <f>IF($A72="","",COUNTIFS(RawData[Date],$A72,RawData[Slot],25))</f>
        <v/>
      </c>
      <c r="AC72" s="4" t="str">
        <f>IF($A72="","",COUNTIFS(RawData[Date],$A72,RawData[Slot],26))</f>
        <v/>
      </c>
      <c r="AD72" s="4" t="str">
        <f>IF($A72="","",COUNTIFS(RawData[Date],$A72,RawData[Slot],27))</f>
        <v/>
      </c>
      <c r="AE72" s="4" t="str">
        <f>IF($A72="","",COUNTIFS(RawData[Date],$A72,RawData[Slot],28))</f>
        <v/>
      </c>
      <c r="AF72" s="4" t="str">
        <f>IF($A72="","",COUNTIFS(RawData[Date],$A72,RawData[Slot],29))</f>
        <v/>
      </c>
      <c r="AG72" s="4" t="str">
        <f>IF($A72="","",COUNTIFS(RawData[Date],$A72,RawData[Slot],30))</f>
        <v/>
      </c>
      <c r="AH72" s="4" t="str">
        <f>IF($A72="","",COUNTIFS(RawData[Date],$A72,RawData[Slot],31))</f>
        <v/>
      </c>
      <c r="AI72" s="4" t="str">
        <f>IF($A72="","",COUNTIFS(RawData[Date],$A72,RawData[Slot],32))</f>
        <v/>
      </c>
      <c r="AJ72" s="4" t="str">
        <f>IF($A72="","",COUNTIFS(RawData[Date],$A72,RawData[Slot],33))</f>
        <v/>
      </c>
      <c r="AK72" s="4" t="str">
        <f>IF($A72="","",COUNTIFS(RawData[Date],$A72,RawData[Slot],34))</f>
        <v/>
      </c>
      <c r="AL72" s="4" t="str">
        <f>IF($A72="","",COUNTIFS(RawData[Date],$A72,RawData[Slot],35))</f>
        <v/>
      </c>
      <c r="AM72" s="4" t="str">
        <f>IF($A72="","",COUNTIFS(RawData[Date],$A72,RawData[Slot],36))</f>
        <v/>
      </c>
      <c r="AN72" s="4" t="str">
        <f>IF($A72="","",COUNTIFS(RawData[Date],$A72,RawData[Slot],37))</f>
        <v/>
      </c>
      <c r="AO72" s="4" t="str">
        <f>IF($A72="","",COUNTIFS(RawData[Date],$A72,RawData[Slot],38))</f>
        <v/>
      </c>
      <c r="AP72" s="4" t="str">
        <f>IF($A72="","",COUNTIFS(RawData[Date],$A72,RawData[Slot],39))</f>
        <v/>
      </c>
      <c r="AQ72" s="4" t="str">
        <f>IF($A72="","",COUNTIFS(RawData[Date],$A72,RawData[Slot],40))</f>
        <v/>
      </c>
      <c r="AR72" s="4" t="str">
        <f>IF($A72="","",COUNTIFS(RawData[Date],$A72,RawData[Slot],41))</f>
        <v/>
      </c>
      <c r="AS72" s="4" t="str">
        <f>IF($A72="","",COUNTIFS(RawData[Date],$A72,RawData[Slot],42))</f>
        <v/>
      </c>
      <c r="AT72" s="4" t="str">
        <f>IF($A72="","",COUNTIFS(RawData[Date],$A72,RawData[Slot],43))</f>
        <v/>
      </c>
      <c r="AU72" s="4" t="str">
        <f>IF($A72="","",COUNTIFS(RawData[Date],$A72,RawData[Slot],44))</f>
        <v/>
      </c>
      <c r="AV72" s="4" t="str">
        <f>IF($A72="","",COUNTIFS(RawData[Date],$A72,RawData[Slot],45))</f>
        <v/>
      </c>
      <c r="AW72" s="4" t="str">
        <f>IF($A72="","",COUNTIFS(RawData[Date],$A72,RawData[Slot],46))</f>
        <v/>
      </c>
      <c r="AX72" s="4" t="str">
        <f>IF($A72="","",COUNTIFS(RawData[Date],$A72,RawData[Slot],47))</f>
        <v/>
      </c>
      <c r="AY72" s="4" t="str">
        <f t="shared" si="5"/>
        <v/>
      </c>
    </row>
    <row r="73" spans="1:51" x14ac:dyDescent="0.25">
      <c r="A73" s="7"/>
      <c r="B73" s="4" t="str">
        <f t="shared" si="4"/>
        <v/>
      </c>
      <c r="C73" s="4" t="str">
        <f>IF($A73="","",COUNTIFS(RawData[Date],$A73,RawData[Slot],0))</f>
        <v/>
      </c>
      <c r="D73" s="4" t="str">
        <f>IF($A73="","",COUNTIFS(RawData[Date],$A73,RawData[Slot],1))</f>
        <v/>
      </c>
      <c r="E73" s="4" t="str">
        <f>IF($A73="","",COUNTIFS(RawData[Date],$A73,RawData[Slot],2))</f>
        <v/>
      </c>
      <c r="F73" s="4" t="str">
        <f>IF($A73="","",COUNTIFS(RawData[Date],$A73,RawData[Slot],3))</f>
        <v/>
      </c>
      <c r="G73" s="4" t="str">
        <f>IF($A73="","",COUNTIFS(RawData[Date],$A73,RawData[Slot],4))</f>
        <v/>
      </c>
      <c r="H73" s="4" t="str">
        <f>IF($A73="","",COUNTIFS(RawData[Date],$A73,RawData[Slot],5))</f>
        <v/>
      </c>
      <c r="I73" s="4" t="str">
        <f>IF($A73="","",COUNTIFS(RawData[Date],$A73,RawData[Slot],6))</f>
        <v/>
      </c>
      <c r="J73" s="4" t="str">
        <f>IF($A73="","",COUNTIFS(RawData[Date],$A73,RawData[Slot],7))</f>
        <v/>
      </c>
      <c r="K73" s="4" t="str">
        <f>IF($A73="","",COUNTIFS(RawData[Date],$A73,RawData[Slot],8))</f>
        <v/>
      </c>
      <c r="L73" s="4" t="str">
        <f>IF($A73="","",COUNTIFS(RawData[Date],$A73,RawData[Slot],9))</f>
        <v/>
      </c>
      <c r="M73" s="4" t="str">
        <f>IF($A73="","",COUNTIFS(RawData[Date],$A73,RawData[Slot],10))</f>
        <v/>
      </c>
      <c r="N73" s="4" t="str">
        <f>IF($A73="","",COUNTIFS(RawData[Date],$A73,RawData[Slot],11))</f>
        <v/>
      </c>
      <c r="O73" s="4" t="str">
        <f>IF($A73="","",COUNTIFS(RawData[Date],$A73,RawData[Slot],12))</f>
        <v/>
      </c>
      <c r="P73" s="4" t="str">
        <f>IF($A73="","",COUNTIFS(RawData[Date],$A73,RawData[Slot],13))</f>
        <v/>
      </c>
      <c r="Q73" s="4" t="str">
        <f>IF($A73="","",COUNTIFS(RawData[Date],$A73,RawData[Slot],14))</f>
        <v/>
      </c>
      <c r="R73" s="4" t="str">
        <f>IF($A73="","",COUNTIFS(RawData[Date],$A73,RawData[Slot],15))</f>
        <v/>
      </c>
      <c r="S73" s="4" t="str">
        <f>IF($A73="","",COUNTIFS(RawData[Date],$A73,RawData[Slot],16))</f>
        <v/>
      </c>
      <c r="T73" s="4" t="str">
        <f>IF($A73="","",COUNTIFS(RawData[Date],$A73,RawData[Slot],17))</f>
        <v/>
      </c>
      <c r="U73" s="4" t="str">
        <f>IF($A73="","",COUNTIFS(RawData[Date],$A73,RawData[Slot],18))</f>
        <v/>
      </c>
      <c r="V73" s="4" t="str">
        <f>IF($A73="","",COUNTIFS(RawData[Date],$A73,RawData[Slot],19))</f>
        <v/>
      </c>
      <c r="W73" s="4" t="str">
        <f>IF($A73="","",COUNTIFS(RawData[Date],$A73,RawData[Slot],20))</f>
        <v/>
      </c>
      <c r="X73" s="4" t="str">
        <f>IF($A73="","",COUNTIFS(RawData[Date],$A73,RawData[Slot],21))</f>
        <v/>
      </c>
      <c r="Y73" s="4" t="str">
        <f>IF($A73="","",COUNTIFS(RawData[Date],$A73,RawData[Slot],22))</f>
        <v/>
      </c>
      <c r="Z73" s="4" t="str">
        <f>IF($A73="","",COUNTIFS(RawData[Date],$A73,RawData[Slot],23))</f>
        <v/>
      </c>
      <c r="AA73" s="4" t="str">
        <f>IF($A73="","",COUNTIFS(RawData[Date],$A73,RawData[Slot],24))</f>
        <v/>
      </c>
      <c r="AB73" s="4" t="str">
        <f>IF($A73="","",COUNTIFS(RawData[Date],$A73,RawData[Slot],25))</f>
        <v/>
      </c>
      <c r="AC73" s="4" t="str">
        <f>IF($A73="","",COUNTIFS(RawData[Date],$A73,RawData[Slot],26))</f>
        <v/>
      </c>
      <c r="AD73" s="4" t="str">
        <f>IF($A73="","",COUNTIFS(RawData[Date],$A73,RawData[Slot],27))</f>
        <v/>
      </c>
      <c r="AE73" s="4" t="str">
        <f>IF($A73="","",COUNTIFS(RawData[Date],$A73,RawData[Slot],28))</f>
        <v/>
      </c>
      <c r="AF73" s="4" t="str">
        <f>IF($A73="","",COUNTIFS(RawData[Date],$A73,RawData[Slot],29))</f>
        <v/>
      </c>
      <c r="AG73" s="4" t="str">
        <f>IF($A73="","",COUNTIFS(RawData[Date],$A73,RawData[Slot],30))</f>
        <v/>
      </c>
      <c r="AH73" s="4" t="str">
        <f>IF($A73="","",COUNTIFS(RawData[Date],$A73,RawData[Slot],31))</f>
        <v/>
      </c>
      <c r="AI73" s="4" t="str">
        <f>IF($A73="","",COUNTIFS(RawData[Date],$A73,RawData[Slot],32))</f>
        <v/>
      </c>
      <c r="AJ73" s="4" t="str">
        <f>IF($A73="","",COUNTIFS(RawData[Date],$A73,RawData[Slot],33))</f>
        <v/>
      </c>
      <c r="AK73" s="4" t="str">
        <f>IF($A73="","",COUNTIFS(RawData[Date],$A73,RawData[Slot],34))</f>
        <v/>
      </c>
      <c r="AL73" s="4" t="str">
        <f>IF($A73="","",COUNTIFS(RawData[Date],$A73,RawData[Slot],35))</f>
        <v/>
      </c>
      <c r="AM73" s="4" t="str">
        <f>IF($A73="","",COUNTIFS(RawData[Date],$A73,RawData[Slot],36))</f>
        <v/>
      </c>
      <c r="AN73" s="4" t="str">
        <f>IF($A73="","",COUNTIFS(RawData[Date],$A73,RawData[Slot],37))</f>
        <v/>
      </c>
      <c r="AO73" s="4" t="str">
        <f>IF($A73="","",COUNTIFS(RawData[Date],$A73,RawData[Slot],38))</f>
        <v/>
      </c>
      <c r="AP73" s="4" t="str">
        <f>IF($A73="","",COUNTIFS(RawData[Date],$A73,RawData[Slot],39))</f>
        <v/>
      </c>
      <c r="AQ73" s="4" t="str">
        <f>IF($A73="","",COUNTIFS(RawData[Date],$A73,RawData[Slot],40))</f>
        <v/>
      </c>
      <c r="AR73" s="4" t="str">
        <f>IF($A73="","",COUNTIFS(RawData[Date],$A73,RawData[Slot],41))</f>
        <v/>
      </c>
      <c r="AS73" s="4" t="str">
        <f>IF($A73="","",COUNTIFS(RawData[Date],$A73,RawData[Slot],42))</f>
        <v/>
      </c>
      <c r="AT73" s="4" t="str">
        <f>IF($A73="","",COUNTIFS(RawData[Date],$A73,RawData[Slot],43))</f>
        <v/>
      </c>
      <c r="AU73" s="4" t="str">
        <f>IF($A73="","",COUNTIFS(RawData[Date],$A73,RawData[Slot],44))</f>
        <v/>
      </c>
      <c r="AV73" s="4" t="str">
        <f>IF($A73="","",COUNTIFS(RawData[Date],$A73,RawData[Slot],45))</f>
        <v/>
      </c>
      <c r="AW73" s="4" t="str">
        <f>IF($A73="","",COUNTIFS(RawData[Date],$A73,RawData[Slot],46))</f>
        <v/>
      </c>
      <c r="AX73" s="4" t="str">
        <f>IF($A73="","",COUNTIFS(RawData[Date],$A73,RawData[Slot],47))</f>
        <v/>
      </c>
      <c r="AY73" s="4" t="str">
        <f t="shared" si="5"/>
        <v/>
      </c>
    </row>
    <row r="74" spans="1:51" x14ac:dyDescent="0.25">
      <c r="A74" s="7"/>
      <c r="B74" s="4" t="str">
        <f t="shared" si="4"/>
        <v/>
      </c>
      <c r="C74" s="4" t="str">
        <f>IF($A74="","",COUNTIFS(RawData[Date],$A74,RawData[Slot],0))</f>
        <v/>
      </c>
      <c r="D74" s="4" t="str">
        <f>IF($A74="","",COUNTIFS(RawData[Date],$A74,RawData[Slot],1))</f>
        <v/>
      </c>
      <c r="E74" s="4" t="str">
        <f>IF($A74="","",COUNTIFS(RawData[Date],$A74,RawData[Slot],2))</f>
        <v/>
      </c>
      <c r="F74" s="4" t="str">
        <f>IF($A74="","",COUNTIFS(RawData[Date],$A74,RawData[Slot],3))</f>
        <v/>
      </c>
      <c r="G74" s="4" t="str">
        <f>IF($A74="","",COUNTIFS(RawData[Date],$A74,RawData[Slot],4))</f>
        <v/>
      </c>
      <c r="H74" s="4" t="str">
        <f>IF($A74="","",COUNTIFS(RawData[Date],$A74,RawData[Slot],5))</f>
        <v/>
      </c>
      <c r="I74" s="4" t="str">
        <f>IF($A74="","",COUNTIFS(RawData[Date],$A74,RawData[Slot],6))</f>
        <v/>
      </c>
      <c r="J74" s="4" t="str">
        <f>IF($A74="","",COUNTIFS(RawData[Date],$A74,RawData[Slot],7))</f>
        <v/>
      </c>
      <c r="K74" s="4" t="str">
        <f>IF($A74="","",COUNTIFS(RawData[Date],$A74,RawData[Slot],8))</f>
        <v/>
      </c>
      <c r="L74" s="4" t="str">
        <f>IF($A74="","",COUNTIFS(RawData[Date],$A74,RawData[Slot],9))</f>
        <v/>
      </c>
      <c r="M74" s="4" t="str">
        <f>IF($A74="","",COUNTIFS(RawData[Date],$A74,RawData[Slot],10))</f>
        <v/>
      </c>
      <c r="N74" s="4" t="str">
        <f>IF($A74="","",COUNTIFS(RawData[Date],$A74,RawData[Slot],11))</f>
        <v/>
      </c>
      <c r="O74" s="4" t="str">
        <f>IF($A74="","",COUNTIFS(RawData[Date],$A74,RawData[Slot],12))</f>
        <v/>
      </c>
      <c r="P74" s="4" t="str">
        <f>IF($A74="","",COUNTIFS(RawData[Date],$A74,RawData[Slot],13))</f>
        <v/>
      </c>
      <c r="Q74" s="4" t="str">
        <f>IF($A74="","",COUNTIFS(RawData[Date],$A74,RawData[Slot],14))</f>
        <v/>
      </c>
      <c r="R74" s="4" t="str">
        <f>IF($A74="","",COUNTIFS(RawData[Date],$A74,RawData[Slot],15))</f>
        <v/>
      </c>
      <c r="S74" s="4" t="str">
        <f>IF($A74="","",COUNTIFS(RawData[Date],$A74,RawData[Slot],16))</f>
        <v/>
      </c>
      <c r="T74" s="4" t="str">
        <f>IF($A74="","",COUNTIFS(RawData[Date],$A74,RawData[Slot],17))</f>
        <v/>
      </c>
      <c r="U74" s="4" t="str">
        <f>IF($A74="","",COUNTIFS(RawData[Date],$A74,RawData[Slot],18))</f>
        <v/>
      </c>
      <c r="V74" s="4" t="str">
        <f>IF($A74="","",COUNTIFS(RawData[Date],$A74,RawData[Slot],19))</f>
        <v/>
      </c>
      <c r="W74" s="4" t="str">
        <f>IF($A74="","",COUNTIFS(RawData[Date],$A74,RawData[Slot],20))</f>
        <v/>
      </c>
      <c r="X74" s="4" t="str">
        <f>IF($A74="","",COUNTIFS(RawData[Date],$A74,RawData[Slot],21))</f>
        <v/>
      </c>
      <c r="Y74" s="4" t="str">
        <f>IF($A74="","",COUNTIFS(RawData[Date],$A74,RawData[Slot],22))</f>
        <v/>
      </c>
      <c r="Z74" s="4" t="str">
        <f>IF($A74="","",COUNTIFS(RawData[Date],$A74,RawData[Slot],23))</f>
        <v/>
      </c>
      <c r="AA74" s="4" t="str">
        <f>IF($A74="","",COUNTIFS(RawData[Date],$A74,RawData[Slot],24))</f>
        <v/>
      </c>
      <c r="AB74" s="4" t="str">
        <f>IF($A74="","",COUNTIFS(RawData[Date],$A74,RawData[Slot],25))</f>
        <v/>
      </c>
      <c r="AC74" s="4" t="str">
        <f>IF($A74="","",COUNTIFS(RawData[Date],$A74,RawData[Slot],26))</f>
        <v/>
      </c>
      <c r="AD74" s="4" t="str">
        <f>IF($A74="","",COUNTIFS(RawData[Date],$A74,RawData[Slot],27))</f>
        <v/>
      </c>
      <c r="AE74" s="4" t="str">
        <f>IF($A74="","",COUNTIFS(RawData[Date],$A74,RawData[Slot],28))</f>
        <v/>
      </c>
      <c r="AF74" s="4" t="str">
        <f>IF($A74="","",COUNTIFS(RawData[Date],$A74,RawData[Slot],29))</f>
        <v/>
      </c>
      <c r="AG74" s="4" t="str">
        <f>IF($A74="","",COUNTIFS(RawData[Date],$A74,RawData[Slot],30))</f>
        <v/>
      </c>
      <c r="AH74" s="4" t="str">
        <f>IF($A74="","",COUNTIFS(RawData[Date],$A74,RawData[Slot],31))</f>
        <v/>
      </c>
      <c r="AI74" s="4" t="str">
        <f>IF($A74="","",COUNTIFS(RawData[Date],$A74,RawData[Slot],32))</f>
        <v/>
      </c>
      <c r="AJ74" s="4" t="str">
        <f>IF($A74="","",COUNTIFS(RawData[Date],$A74,RawData[Slot],33))</f>
        <v/>
      </c>
      <c r="AK74" s="4" t="str">
        <f>IF($A74="","",COUNTIFS(RawData[Date],$A74,RawData[Slot],34))</f>
        <v/>
      </c>
      <c r="AL74" s="4" t="str">
        <f>IF($A74="","",COUNTIFS(RawData[Date],$A74,RawData[Slot],35))</f>
        <v/>
      </c>
      <c r="AM74" s="4" t="str">
        <f>IF($A74="","",COUNTIFS(RawData[Date],$A74,RawData[Slot],36))</f>
        <v/>
      </c>
      <c r="AN74" s="4" t="str">
        <f>IF($A74="","",COUNTIFS(RawData[Date],$A74,RawData[Slot],37))</f>
        <v/>
      </c>
      <c r="AO74" s="4" t="str">
        <f>IF($A74="","",COUNTIFS(RawData[Date],$A74,RawData[Slot],38))</f>
        <v/>
      </c>
      <c r="AP74" s="4" t="str">
        <f>IF($A74="","",COUNTIFS(RawData[Date],$A74,RawData[Slot],39))</f>
        <v/>
      </c>
      <c r="AQ74" s="4" t="str">
        <f>IF($A74="","",COUNTIFS(RawData[Date],$A74,RawData[Slot],40))</f>
        <v/>
      </c>
      <c r="AR74" s="4" t="str">
        <f>IF($A74="","",COUNTIFS(RawData[Date],$A74,RawData[Slot],41))</f>
        <v/>
      </c>
      <c r="AS74" s="4" t="str">
        <f>IF($A74="","",COUNTIFS(RawData[Date],$A74,RawData[Slot],42))</f>
        <v/>
      </c>
      <c r="AT74" s="4" t="str">
        <f>IF($A74="","",COUNTIFS(RawData[Date],$A74,RawData[Slot],43))</f>
        <v/>
      </c>
      <c r="AU74" s="4" t="str">
        <f>IF($A74="","",COUNTIFS(RawData[Date],$A74,RawData[Slot],44))</f>
        <v/>
      </c>
      <c r="AV74" s="4" t="str">
        <f>IF($A74="","",COUNTIFS(RawData[Date],$A74,RawData[Slot],45))</f>
        <v/>
      </c>
      <c r="AW74" s="4" t="str">
        <f>IF($A74="","",COUNTIFS(RawData[Date],$A74,RawData[Slot],46))</f>
        <v/>
      </c>
      <c r="AX74" s="4" t="str">
        <f>IF($A74="","",COUNTIFS(RawData[Date],$A74,RawData[Slot],47))</f>
        <v/>
      </c>
      <c r="AY74" s="4" t="str">
        <f t="shared" si="5"/>
        <v/>
      </c>
    </row>
    <row r="75" spans="1:51" x14ac:dyDescent="0.25">
      <c r="A75" s="7"/>
      <c r="B75" s="4" t="str">
        <f t="shared" si="4"/>
        <v/>
      </c>
      <c r="C75" s="4" t="str">
        <f>IF($A75="","",COUNTIFS(RawData[Date],$A75,RawData[Slot],0))</f>
        <v/>
      </c>
      <c r="D75" s="4" t="str">
        <f>IF($A75="","",COUNTIFS(RawData[Date],$A75,RawData[Slot],1))</f>
        <v/>
      </c>
      <c r="E75" s="4" t="str">
        <f>IF($A75="","",COUNTIFS(RawData[Date],$A75,RawData[Slot],2))</f>
        <v/>
      </c>
      <c r="F75" s="4" t="str">
        <f>IF($A75="","",COUNTIFS(RawData[Date],$A75,RawData[Slot],3))</f>
        <v/>
      </c>
      <c r="G75" s="4" t="str">
        <f>IF($A75="","",COUNTIFS(RawData[Date],$A75,RawData[Slot],4))</f>
        <v/>
      </c>
      <c r="H75" s="4" t="str">
        <f>IF($A75="","",COUNTIFS(RawData[Date],$A75,RawData[Slot],5))</f>
        <v/>
      </c>
      <c r="I75" s="4" t="str">
        <f>IF($A75="","",COUNTIFS(RawData[Date],$A75,RawData[Slot],6))</f>
        <v/>
      </c>
      <c r="J75" s="4" t="str">
        <f>IF($A75="","",COUNTIFS(RawData[Date],$A75,RawData[Slot],7))</f>
        <v/>
      </c>
      <c r="K75" s="4" t="str">
        <f>IF($A75="","",COUNTIFS(RawData[Date],$A75,RawData[Slot],8))</f>
        <v/>
      </c>
      <c r="L75" s="4" t="str">
        <f>IF($A75="","",COUNTIFS(RawData[Date],$A75,RawData[Slot],9))</f>
        <v/>
      </c>
      <c r="M75" s="4" t="str">
        <f>IF($A75="","",COUNTIFS(RawData[Date],$A75,RawData[Slot],10))</f>
        <v/>
      </c>
      <c r="N75" s="4" t="str">
        <f>IF($A75="","",COUNTIFS(RawData[Date],$A75,RawData[Slot],11))</f>
        <v/>
      </c>
      <c r="O75" s="4" t="str">
        <f>IF($A75="","",COUNTIFS(RawData[Date],$A75,RawData[Slot],12))</f>
        <v/>
      </c>
      <c r="P75" s="4" t="str">
        <f>IF($A75="","",COUNTIFS(RawData[Date],$A75,RawData[Slot],13))</f>
        <v/>
      </c>
      <c r="Q75" s="4" t="str">
        <f>IF($A75="","",COUNTIFS(RawData[Date],$A75,RawData[Slot],14))</f>
        <v/>
      </c>
      <c r="R75" s="4" t="str">
        <f>IF($A75="","",COUNTIFS(RawData[Date],$A75,RawData[Slot],15))</f>
        <v/>
      </c>
      <c r="S75" s="4" t="str">
        <f>IF($A75="","",COUNTIFS(RawData[Date],$A75,RawData[Slot],16))</f>
        <v/>
      </c>
      <c r="T75" s="4" t="str">
        <f>IF($A75="","",COUNTIFS(RawData[Date],$A75,RawData[Slot],17))</f>
        <v/>
      </c>
      <c r="U75" s="4" t="str">
        <f>IF($A75="","",COUNTIFS(RawData[Date],$A75,RawData[Slot],18))</f>
        <v/>
      </c>
      <c r="V75" s="4" t="str">
        <f>IF($A75="","",COUNTIFS(RawData[Date],$A75,RawData[Slot],19))</f>
        <v/>
      </c>
      <c r="W75" s="4" t="str">
        <f>IF($A75="","",COUNTIFS(RawData[Date],$A75,RawData[Slot],20))</f>
        <v/>
      </c>
      <c r="X75" s="4" t="str">
        <f>IF($A75="","",COUNTIFS(RawData[Date],$A75,RawData[Slot],21))</f>
        <v/>
      </c>
      <c r="Y75" s="4" t="str">
        <f>IF($A75="","",COUNTIFS(RawData[Date],$A75,RawData[Slot],22))</f>
        <v/>
      </c>
      <c r="Z75" s="4" t="str">
        <f>IF($A75="","",COUNTIFS(RawData[Date],$A75,RawData[Slot],23))</f>
        <v/>
      </c>
      <c r="AA75" s="4" t="str">
        <f>IF($A75="","",COUNTIFS(RawData[Date],$A75,RawData[Slot],24))</f>
        <v/>
      </c>
      <c r="AB75" s="4" t="str">
        <f>IF($A75="","",COUNTIFS(RawData[Date],$A75,RawData[Slot],25))</f>
        <v/>
      </c>
      <c r="AC75" s="4" t="str">
        <f>IF($A75="","",COUNTIFS(RawData[Date],$A75,RawData[Slot],26))</f>
        <v/>
      </c>
      <c r="AD75" s="4" t="str">
        <f>IF($A75="","",COUNTIFS(RawData[Date],$A75,RawData[Slot],27))</f>
        <v/>
      </c>
      <c r="AE75" s="4" t="str">
        <f>IF($A75="","",COUNTIFS(RawData[Date],$A75,RawData[Slot],28))</f>
        <v/>
      </c>
      <c r="AF75" s="4" t="str">
        <f>IF($A75="","",COUNTIFS(RawData[Date],$A75,RawData[Slot],29))</f>
        <v/>
      </c>
      <c r="AG75" s="4" t="str">
        <f>IF($A75="","",COUNTIFS(RawData[Date],$A75,RawData[Slot],30))</f>
        <v/>
      </c>
      <c r="AH75" s="4" t="str">
        <f>IF($A75="","",COUNTIFS(RawData[Date],$A75,RawData[Slot],31))</f>
        <v/>
      </c>
      <c r="AI75" s="4" t="str">
        <f>IF($A75="","",COUNTIFS(RawData[Date],$A75,RawData[Slot],32))</f>
        <v/>
      </c>
      <c r="AJ75" s="4" t="str">
        <f>IF($A75="","",COUNTIFS(RawData[Date],$A75,RawData[Slot],33))</f>
        <v/>
      </c>
      <c r="AK75" s="4" t="str">
        <f>IF($A75="","",COUNTIFS(RawData[Date],$A75,RawData[Slot],34))</f>
        <v/>
      </c>
      <c r="AL75" s="4" t="str">
        <f>IF($A75="","",COUNTIFS(RawData[Date],$A75,RawData[Slot],35))</f>
        <v/>
      </c>
      <c r="AM75" s="4" t="str">
        <f>IF($A75="","",COUNTIFS(RawData[Date],$A75,RawData[Slot],36))</f>
        <v/>
      </c>
      <c r="AN75" s="4" t="str">
        <f>IF($A75="","",COUNTIFS(RawData[Date],$A75,RawData[Slot],37))</f>
        <v/>
      </c>
      <c r="AO75" s="4" t="str">
        <f>IF($A75="","",COUNTIFS(RawData[Date],$A75,RawData[Slot],38))</f>
        <v/>
      </c>
      <c r="AP75" s="4" t="str">
        <f>IF($A75="","",COUNTIFS(RawData[Date],$A75,RawData[Slot],39))</f>
        <v/>
      </c>
      <c r="AQ75" s="4" t="str">
        <f>IF($A75="","",COUNTIFS(RawData[Date],$A75,RawData[Slot],40))</f>
        <v/>
      </c>
      <c r="AR75" s="4" t="str">
        <f>IF($A75="","",COUNTIFS(RawData[Date],$A75,RawData[Slot],41))</f>
        <v/>
      </c>
      <c r="AS75" s="4" t="str">
        <f>IF($A75="","",COUNTIFS(RawData[Date],$A75,RawData[Slot],42))</f>
        <v/>
      </c>
      <c r="AT75" s="4" t="str">
        <f>IF($A75="","",COUNTIFS(RawData[Date],$A75,RawData[Slot],43))</f>
        <v/>
      </c>
      <c r="AU75" s="4" t="str">
        <f>IF($A75="","",COUNTIFS(RawData[Date],$A75,RawData[Slot],44))</f>
        <v/>
      </c>
      <c r="AV75" s="4" t="str">
        <f>IF($A75="","",COUNTIFS(RawData[Date],$A75,RawData[Slot],45))</f>
        <v/>
      </c>
      <c r="AW75" s="4" t="str">
        <f>IF($A75="","",COUNTIFS(RawData[Date],$A75,RawData[Slot],46))</f>
        <v/>
      </c>
      <c r="AX75" s="4" t="str">
        <f>IF($A75="","",COUNTIFS(RawData[Date],$A75,RawData[Slot],47))</f>
        <v/>
      </c>
      <c r="AY75" s="4" t="str">
        <f t="shared" si="5"/>
        <v/>
      </c>
    </row>
    <row r="76" spans="1:51" x14ac:dyDescent="0.25">
      <c r="A76" s="7"/>
      <c r="B76" s="4" t="str">
        <f t="shared" si="4"/>
        <v/>
      </c>
      <c r="C76" s="4" t="str">
        <f>IF($A76="","",COUNTIFS(RawData[Date],$A76,RawData[Slot],0))</f>
        <v/>
      </c>
      <c r="D76" s="4" t="str">
        <f>IF($A76="","",COUNTIFS(RawData[Date],$A76,RawData[Slot],1))</f>
        <v/>
      </c>
      <c r="E76" s="4" t="str">
        <f>IF($A76="","",COUNTIFS(RawData[Date],$A76,RawData[Slot],2))</f>
        <v/>
      </c>
      <c r="F76" s="4" t="str">
        <f>IF($A76="","",COUNTIFS(RawData[Date],$A76,RawData[Slot],3))</f>
        <v/>
      </c>
      <c r="G76" s="4" t="str">
        <f>IF($A76="","",COUNTIFS(RawData[Date],$A76,RawData[Slot],4))</f>
        <v/>
      </c>
      <c r="H76" s="4" t="str">
        <f>IF($A76="","",COUNTIFS(RawData[Date],$A76,RawData[Slot],5))</f>
        <v/>
      </c>
      <c r="I76" s="4" t="str">
        <f>IF($A76="","",COUNTIFS(RawData[Date],$A76,RawData[Slot],6))</f>
        <v/>
      </c>
      <c r="J76" s="4" t="str">
        <f>IF($A76="","",COUNTIFS(RawData[Date],$A76,RawData[Slot],7))</f>
        <v/>
      </c>
      <c r="K76" s="4" t="str">
        <f>IF($A76="","",COUNTIFS(RawData[Date],$A76,RawData[Slot],8))</f>
        <v/>
      </c>
      <c r="L76" s="4" t="str">
        <f>IF($A76="","",COUNTIFS(RawData[Date],$A76,RawData[Slot],9))</f>
        <v/>
      </c>
      <c r="M76" s="4" t="str">
        <f>IF($A76="","",COUNTIFS(RawData[Date],$A76,RawData[Slot],10))</f>
        <v/>
      </c>
      <c r="N76" s="4" t="str">
        <f>IF($A76="","",COUNTIFS(RawData[Date],$A76,RawData[Slot],11))</f>
        <v/>
      </c>
      <c r="O76" s="4" t="str">
        <f>IF($A76="","",COUNTIFS(RawData[Date],$A76,RawData[Slot],12))</f>
        <v/>
      </c>
      <c r="P76" s="4" t="str">
        <f>IF($A76="","",COUNTIFS(RawData[Date],$A76,RawData[Slot],13))</f>
        <v/>
      </c>
      <c r="Q76" s="4" t="str">
        <f>IF($A76="","",COUNTIFS(RawData[Date],$A76,RawData[Slot],14))</f>
        <v/>
      </c>
      <c r="R76" s="4" t="str">
        <f>IF($A76="","",COUNTIFS(RawData[Date],$A76,RawData[Slot],15))</f>
        <v/>
      </c>
      <c r="S76" s="4" t="str">
        <f>IF($A76="","",COUNTIFS(RawData[Date],$A76,RawData[Slot],16))</f>
        <v/>
      </c>
      <c r="T76" s="4" t="str">
        <f>IF($A76="","",COUNTIFS(RawData[Date],$A76,RawData[Slot],17))</f>
        <v/>
      </c>
      <c r="U76" s="4" t="str">
        <f>IF($A76="","",COUNTIFS(RawData[Date],$A76,RawData[Slot],18))</f>
        <v/>
      </c>
      <c r="V76" s="4" t="str">
        <f>IF($A76="","",COUNTIFS(RawData[Date],$A76,RawData[Slot],19))</f>
        <v/>
      </c>
      <c r="W76" s="4" t="str">
        <f>IF($A76="","",COUNTIFS(RawData[Date],$A76,RawData[Slot],20))</f>
        <v/>
      </c>
      <c r="X76" s="4" t="str">
        <f>IF($A76="","",COUNTIFS(RawData[Date],$A76,RawData[Slot],21))</f>
        <v/>
      </c>
      <c r="Y76" s="4" t="str">
        <f>IF($A76="","",COUNTIFS(RawData[Date],$A76,RawData[Slot],22))</f>
        <v/>
      </c>
      <c r="Z76" s="4" t="str">
        <f>IF($A76="","",COUNTIFS(RawData[Date],$A76,RawData[Slot],23))</f>
        <v/>
      </c>
      <c r="AA76" s="4" t="str">
        <f>IF($A76="","",COUNTIFS(RawData[Date],$A76,RawData[Slot],24))</f>
        <v/>
      </c>
      <c r="AB76" s="4" t="str">
        <f>IF($A76="","",COUNTIFS(RawData[Date],$A76,RawData[Slot],25))</f>
        <v/>
      </c>
      <c r="AC76" s="4" t="str">
        <f>IF($A76="","",COUNTIFS(RawData[Date],$A76,RawData[Slot],26))</f>
        <v/>
      </c>
      <c r="AD76" s="4" t="str">
        <f>IF($A76="","",COUNTIFS(RawData[Date],$A76,RawData[Slot],27))</f>
        <v/>
      </c>
      <c r="AE76" s="4" t="str">
        <f>IF($A76="","",COUNTIFS(RawData[Date],$A76,RawData[Slot],28))</f>
        <v/>
      </c>
      <c r="AF76" s="4" t="str">
        <f>IF($A76="","",COUNTIFS(RawData[Date],$A76,RawData[Slot],29))</f>
        <v/>
      </c>
      <c r="AG76" s="4" t="str">
        <f>IF($A76="","",COUNTIFS(RawData[Date],$A76,RawData[Slot],30))</f>
        <v/>
      </c>
      <c r="AH76" s="4" t="str">
        <f>IF($A76="","",COUNTIFS(RawData[Date],$A76,RawData[Slot],31))</f>
        <v/>
      </c>
      <c r="AI76" s="4" t="str">
        <f>IF($A76="","",COUNTIFS(RawData[Date],$A76,RawData[Slot],32))</f>
        <v/>
      </c>
      <c r="AJ76" s="4" t="str">
        <f>IF($A76="","",COUNTIFS(RawData[Date],$A76,RawData[Slot],33))</f>
        <v/>
      </c>
      <c r="AK76" s="4" t="str">
        <f>IF($A76="","",COUNTIFS(RawData[Date],$A76,RawData[Slot],34))</f>
        <v/>
      </c>
      <c r="AL76" s="4" t="str">
        <f>IF($A76="","",COUNTIFS(RawData[Date],$A76,RawData[Slot],35))</f>
        <v/>
      </c>
      <c r="AM76" s="4" t="str">
        <f>IF($A76="","",COUNTIFS(RawData[Date],$A76,RawData[Slot],36))</f>
        <v/>
      </c>
      <c r="AN76" s="4" t="str">
        <f>IF($A76="","",COUNTIFS(RawData[Date],$A76,RawData[Slot],37))</f>
        <v/>
      </c>
      <c r="AO76" s="4" t="str">
        <f>IF($A76="","",COUNTIFS(RawData[Date],$A76,RawData[Slot],38))</f>
        <v/>
      </c>
      <c r="AP76" s="4" t="str">
        <f>IF($A76="","",COUNTIFS(RawData[Date],$A76,RawData[Slot],39))</f>
        <v/>
      </c>
      <c r="AQ76" s="4" t="str">
        <f>IF($A76="","",COUNTIFS(RawData[Date],$A76,RawData[Slot],40))</f>
        <v/>
      </c>
      <c r="AR76" s="4" t="str">
        <f>IF($A76="","",COUNTIFS(RawData[Date],$A76,RawData[Slot],41))</f>
        <v/>
      </c>
      <c r="AS76" s="4" t="str">
        <f>IF($A76="","",COUNTIFS(RawData[Date],$A76,RawData[Slot],42))</f>
        <v/>
      </c>
      <c r="AT76" s="4" t="str">
        <f>IF($A76="","",COUNTIFS(RawData[Date],$A76,RawData[Slot],43))</f>
        <v/>
      </c>
      <c r="AU76" s="4" t="str">
        <f>IF($A76="","",COUNTIFS(RawData[Date],$A76,RawData[Slot],44))</f>
        <v/>
      </c>
      <c r="AV76" s="4" t="str">
        <f>IF($A76="","",COUNTIFS(RawData[Date],$A76,RawData[Slot],45))</f>
        <v/>
      </c>
      <c r="AW76" s="4" t="str">
        <f>IF($A76="","",COUNTIFS(RawData[Date],$A76,RawData[Slot],46))</f>
        <v/>
      </c>
      <c r="AX76" s="4" t="str">
        <f>IF($A76="","",COUNTIFS(RawData[Date],$A76,RawData[Slot],47))</f>
        <v/>
      </c>
      <c r="AY76" s="4" t="str">
        <f t="shared" si="5"/>
        <v/>
      </c>
    </row>
    <row r="77" spans="1:51" x14ac:dyDescent="0.25">
      <c r="A77" s="7"/>
      <c r="B77" s="4" t="str">
        <f t="shared" si="4"/>
        <v/>
      </c>
      <c r="C77" s="4" t="str">
        <f>IF($A77="","",COUNTIFS(RawData[Date],$A77,RawData[Slot],0))</f>
        <v/>
      </c>
      <c r="D77" s="4" t="str">
        <f>IF($A77="","",COUNTIFS(RawData[Date],$A77,RawData[Slot],1))</f>
        <v/>
      </c>
      <c r="E77" s="4" t="str">
        <f>IF($A77="","",COUNTIFS(RawData[Date],$A77,RawData[Slot],2))</f>
        <v/>
      </c>
      <c r="F77" s="4" t="str">
        <f>IF($A77="","",COUNTIFS(RawData[Date],$A77,RawData[Slot],3))</f>
        <v/>
      </c>
      <c r="G77" s="4" t="str">
        <f>IF($A77="","",COUNTIFS(RawData[Date],$A77,RawData[Slot],4))</f>
        <v/>
      </c>
      <c r="H77" s="4" t="str">
        <f>IF($A77="","",COUNTIFS(RawData[Date],$A77,RawData[Slot],5))</f>
        <v/>
      </c>
      <c r="I77" s="4" t="str">
        <f>IF($A77="","",COUNTIFS(RawData[Date],$A77,RawData[Slot],6))</f>
        <v/>
      </c>
      <c r="J77" s="4" t="str">
        <f>IF($A77="","",COUNTIFS(RawData[Date],$A77,RawData[Slot],7))</f>
        <v/>
      </c>
      <c r="K77" s="4" t="str">
        <f>IF($A77="","",COUNTIFS(RawData[Date],$A77,RawData[Slot],8))</f>
        <v/>
      </c>
      <c r="L77" s="4" t="str">
        <f>IF($A77="","",COUNTIFS(RawData[Date],$A77,RawData[Slot],9))</f>
        <v/>
      </c>
      <c r="M77" s="4" t="str">
        <f>IF($A77="","",COUNTIFS(RawData[Date],$A77,RawData[Slot],10))</f>
        <v/>
      </c>
      <c r="N77" s="4" t="str">
        <f>IF($A77="","",COUNTIFS(RawData[Date],$A77,RawData[Slot],11))</f>
        <v/>
      </c>
      <c r="O77" s="4" t="str">
        <f>IF($A77="","",COUNTIFS(RawData[Date],$A77,RawData[Slot],12))</f>
        <v/>
      </c>
      <c r="P77" s="4" t="str">
        <f>IF($A77="","",COUNTIFS(RawData[Date],$A77,RawData[Slot],13))</f>
        <v/>
      </c>
      <c r="Q77" s="4" t="str">
        <f>IF($A77="","",COUNTIFS(RawData[Date],$A77,RawData[Slot],14))</f>
        <v/>
      </c>
      <c r="R77" s="4" t="str">
        <f>IF($A77="","",COUNTIFS(RawData[Date],$A77,RawData[Slot],15))</f>
        <v/>
      </c>
      <c r="S77" s="4" t="str">
        <f>IF($A77="","",COUNTIFS(RawData[Date],$A77,RawData[Slot],16))</f>
        <v/>
      </c>
      <c r="T77" s="4" t="str">
        <f>IF($A77="","",COUNTIFS(RawData[Date],$A77,RawData[Slot],17))</f>
        <v/>
      </c>
      <c r="U77" s="4" t="str">
        <f>IF($A77="","",COUNTIFS(RawData[Date],$A77,RawData[Slot],18))</f>
        <v/>
      </c>
      <c r="V77" s="4" t="str">
        <f>IF($A77="","",COUNTIFS(RawData[Date],$A77,RawData[Slot],19))</f>
        <v/>
      </c>
      <c r="W77" s="4" t="str">
        <f>IF($A77="","",COUNTIFS(RawData[Date],$A77,RawData[Slot],20))</f>
        <v/>
      </c>
      <c r="X77" s="4" t="str">
        <f>IF($A77="","",COUNTIFS(RawData[Date],$A77,RawData[Slot],21))</f>
        <v/>
      </c>
      <c r="Y77" s="4" t="str">
        <f>IF($A77="","",COUNTIFS(RawData[Date],$A77,RawData[Slot],22))</f>
        <v/>
      </c>
      <c r="Z77" s="4" t="str">
        <f>IF($A77="","",COUNTIFS(RawData[Date],$A77,RawData[Slot],23))</f>
        <v/>
      </c>
      <c r="AA77" s="4" t="str">
        <f>IF($A77="","",COUNTIFS(RawData[Date],$A77,RawData[Slot],24))</f>
        <v/>
      </c>
      <c r="AB77" s="4" t="str">
        <f>IF($A77="","",COUNTIFS(RawData[Date],$A77,RawData[Slot],25))</f>
        <v/>
      </c>
      <c r="AC77" s="4" t="str">
        <f>IF($A77="","",COUNTIFS(RawData[Date],$A77,RawData[Slot],26))</f>
        <v/>
      </c>
      <c r="AD77" s="4" t="str">
        <f>IF($A77="","",COUNTIFS(RawData[Date],$A77,RawData[Slot],27))</f>
        <v/>
      </c>
      <c r="AE77" s="4" t="str">
        <f>IF($A77="","",COUNTIFS(RawData[Date],$A77,RawData[Slot],28))</f>
        <v/>
      </c>
      <c r="AF77" s="4" t="str">
        <f>IF($A77="","",COUNTIFS(RawData[Date],$A77,RawData[Slot],29))</f>
        <v/>
      </c>
      <c r="AG77" s="4" t="str">
        <f>IF($A77="","",COUNTIFS(RawData[Date],$A77,RawData[Slot],30))</f>
        <v/>
      </c>
      <c r="AH77" s="4" t="str">
        <f>IF($A77="","",COUNTIFS(RawData[Date],$A77,RawData[Slot],31))</f>
        <v/>
      </c>
      <c r="AI77" s="4" t="str">
        <f>IF($A77="","",COUNTIFS(RawData[Date],$A77,RawData[Slot],32))</f>
        <v/>
      </c>
      <c r="AJ77" s="4" t="str">
        <f>IF($A77="","",COUNTIFS(RawData[Date],$A77,RawData[Slot],33))</f>
        <v/>
      </c>
      <c r="AK77" s="4" t="str">
        <f>IF($A77="","",COUNTIFS(RawData[Date],$A77,RawData[Slot],34))</f>
        <v/>
      </c>
      <c r="AL77" s="4" t="str">
        <f>IF($A77="","",COUNTIFS(RawData[Date],$A77,RawData[Slot],35))</f>
        <v/>
      </c>
      <c r="AM77" s="4" t="str">
        <f>IF($A77="","",COUNTIFS(RawData[Date],$A77,RawData[Slot],36))</f>
        <v/>
      </c>
      <c r="AN77" s="4" t="str">
        <f>IF($A77="","",COUNTIFS(RawData[Date],$A77,RawData[Slot],37))</f>
        <v/>
      </c>
      <c r="AO77" s="4" t="str">
        <f>IF($A77="","",COUNTIFS(RawData[Date],$A77,RawData[Slot],38))</f>
        <v/>
      </c>
      <c r="AP77" s="4" t="str">
        <f>IF($A77="","",COUNTIFS(RawData[Date],$A77,RawData[Slot],39))</f>
        <v/>
      </c>
      <c r="AQ77" s="4" t="str">
        <f>IF($A77="","",COUNTIFS(RawData[Date],$A77,RawData[Slot],40))</f>
        <v/>
      </c>
      <c r="AR77" s="4" t="str">
        <f>IF($A77="","",COUNTIFS(RawData[Date],$A77,RawData[Slot],41))</f>
        <v/>
      </c>
      <c r="AS77" s="4" t="str">
        <f>IF($A77="","",COUNTIFS(RawData[Date],$A77,RawData[Slot],42))</f>
        <v/>
      </c>
      <c r="AT77" s="4" t="str">
        <f>IF($A77="","",COUNTIFS(RawData[Date],$A77,RawData[Slot],43))</f>
        <v/>
      </c>
      <c r="AU77" s="4" t="str">
        <f>IF($A77="","",COUNTIFS(RawData[Date],$A77,RawData[Slot],44))</f>
        <v/>
      </c>
      <c r="AV77" s="4" t="str">
        <f>IF($A77="","",COUNTIFS(RawData[Date],$A77,RawData[Slot],45))</f>
        <v/>
      </c>
      <c r="AW77" s="4" t="str">
        <f>IF($A77="","",COUNTIFS(RawData[Date],$A77,RawData[Slot],46))</f>
        <v/>
      </c>
      <c r="AX77" s="4" t="str">
        <f>IF($A77="","",COUNTIFS(RawData[Date],$A77,RawData[Slot],47))</f>
        <v/>
      </c>
      <c r="AY77" s="4" t="str">
        <f t="shared" si="5"/>
        <v/>
      </c>
    </row>
    <row r="78" spans="1:51" x14ac:dyDescent="0.25">
      <c r="A78" s="7"/>
      <c r="B78" s="4" t="str">
        <f t="shared" si="4"/>
        <v/>
      </c>
      <c r="C78" s="4" t="str">
        <f>IF($A78="","",COUNTIFS(RawData[Date],$A78,RawData[Slot],0))</f>
        <v/>
      </c>
      <c r="D78" s="4" t="str">
        <f>IF($A78="","",COUNTIFS(RawData[Date],$A78,RawData[Slot],1))</f>
        <v/>
      </c>
      <c r="E78" s="4" t="str">
        <f>IF($A78="","",COUNTIFS(RawData[Date],$A78,RawData[Slot],2))</f>
        <v/>
      </c>
      <c r="F78" s="4" t="str">
        <f>IF($A78="","",COUNTIFS(RawData[Date],$A78,RawData[Slot],3))</f>
        <v/>
      </c>
      <c r="G78" s="4" t="str">
        <f>IF($A78="","",COUNTIFS(RawData[Date],$A78,RawData[Slot],4))</f>
        <v/>
      </c>
      <c r="H78" s="4" t="str">
        <f>IF($A78="","",COUNTIFS(RawData[Date],$A78,RawData[Slot],5))</f>
        <v/>
      </c>
      <c r="I78" s="4" t="str">
        <f>IF($A78="","",COUNTIFS(RawData[Date],$A78,RawData[Slot],6))</f>
        <v/>
      </c>
      <c r="J78" s="4" t="str">
        <f>IF($A78="","",COUNTIFS(RawData[Date],$A78,RawData[Slot],7))</f>
        <v/>
      </c>
      <c r="K78" s="4" t="str">
        <f>IF($A78="","",COUNTIFS(RawData[Date],$A78,RawData[Slot],8))</f>
        <v/>
      </c>
      <c r="L78" s="4" t="str">
        <f>IF($A78="","",COUNTIFS(RawData[Date],$A78,RawData[Slot],9))</f>
        <v/>
      </c>
      <c r="M78" s="4" t="str">
        <f>IF($A78="","",COUNTIFS(RawData[Date],$A78,RawData[Slot],10))</f>
        <v/>
      </c>
      <c r="N78" s="4" t="str">
        <f>IF($A78="","",COUNTIFS(RawData[Date],$A78,RawData[Slot],11))</f>
        <v/>
      </c>
      <c r="O78" s="4" t="str">
        <f>IF($A78="","",COUNTIFS(RawData[Date],$A78,RawData[Slot],12))</f>
        <v/>
      </c>
      <c r="P78" s="4" t="str">
        <f>IF($A78="","",COUNTIFS(RawData[Date],$A78,RawData[Slot],13))</f>
        <v/>
      </c>
      <c r="Q78" s="4" t="str">
        <f>IF($A78="","",COUNTIFS(RawData[Date],$A78,RawData[Slot],14))</f>
        <v/>
      </c>
      <c r="R78" s="4" t="str">
        <f>IF($A78="","",COUNTIFS(RawData[Date],$A78,RawData[Slot],15))</f>
        <v/>
      </c>
      <c r="S78" s="4" t="str">
        <f>IF($A78="","",COUNTIFS(RawData[Date],$A78,RawData[Slot],16))</f>
        <v/>
      </c>
      <c r="T78" s="4" t="str">
        <f>IF($A78="","",COUNTIFS(RawData[Date],$A78,RawData[Slot],17))</f>
        <v/>
      </c>
      <c r="U78" s="4" t="str">
        <f>IF($A78="","",COUNTIFS(RawData[Date],$A78,RawData[Slot],18))</f>
        <v/>
      </c>
      <c r="V78" s="4" t="str">
        <f>IF($A78="","",COUNTIFS(RawData[Date],$A78,RawData[Slot],19))</f>
        <v/>
      </c>
      <c r="W78" s="4" t="str">
        <f>IF($A78="","",COUNTIFS(RawData[Date],$A78,RawData[Slot],20))</f>
        <v/>
      </c>
      <c r="X78" s="4" t="str">
        <f>IF($A78="","",COUNTIFS(RawData[Date],$A78,RawData[Slot],21))</f>
        <v/>
      </c>
      <c r="Y78" s="4" t="str">
        <f>IF($A78="","",COUNTIFS(RawData[Date],$A78,RawData[Slot],22))</f>
        <v/>
      </c>
      <c r="Z78" s="4" t="str">
        <f>IF($A78="","",COUNTIFS(RawData[Date],$A78,RawData[Slot],23))</f>
        <v/>
      </c>
      <c r="AA78" s="4" t="str">
        <f>IF($A78="","",COUNTIFS(RawData[Date],$A78,RawData[Slot],24))</f>
        <v/>
      </c>
      <c r="AB78" s="4" t="str">
        <f>IF($A78="","",COUNTIFS(RawData[Date],$A78,RawData[Slot],25))</f>
        <v/>
      </c>
      <c r="AC78" s="4" t="str">
        <f>IF($A78="","",COUNTIFS(RawData[Date],$A78,RawData[Slot],26))</f>
        <v/>
      </c>
      <c r="AD78" s="4" t="str">
        <f>IF($A78="","",COUNTIFS(RawData[Date],$A78,RawData[Slot],27))</f>
        <v/>
      </c>
      <c r="AE78" s="4" t="str">
        <f>IF($A78="","",COUNTIFS(RawData[Date],$A78,RawData[Slot],28))</f>
        <v/>
      </c>
      <c r="AF78" s="4" t="str">
        <f>IF($A78="","",COUNTIFS(RawData[Date],$A78,RawData[Slot],29))</f>
        <v/>
      </c>
      <c r="AG78" s="4" t="str">
        <f>IF($A78="","",COUNTIFS(RawData[Date],$A78,RawData[Slot],30))</f>
        <v/>
      </c>
      <c r="AH78" s="4" t="str">
        <f>IF($A78="","",COUNTIFS(RawData[Date],$A78,RawData[Slot],31))</f>
        <v/>
      </c>
      <c r="AI78" s="4" t="str">
        <f>IF($A78="","",COUNTIFS(RawData[Date],$A78,RawData[Slot],32))</f>
        <v/>
      </c>
      <c r="AJ78" s="4" t="str">
        <f>IF($A78="","",COUNTIFS(RawData[Date],$A78,RawData[Slot],33))</f>
        <v/>
      </c>
      <c r="AK78" s="4" t="str">
        <f>IF($A78="","",COUNTIFS(RawData[Date],$A78,RawData[Slot],34))</f>
        <v/>
      </c>
      <c r="AL78" s="4" t="str">
        <f>IF($A78="","",COUNTIFS(RawData[Date],$A78,RawData[Slot],35))</f>
        <v/>
      </c>
      <c r="AM78" s="4" t="str">
        <f>IF($A78="","",COUNTIFS(RawData[Date],$A78,RawData[Slot],36))</f>
        <v/>
      </c>
      <c r="AN78" s="4" t="str">
        <f>IF($A78="","",COUNTIFS(RawData[Date],$A78,RawData[Slot],37))</f>
        <v/>
      </c>
      <c r="AO78" s="4" t="str">
        <f>IF($A78="","",COUNTIFS(RawData[Date],$A78,RawData[Slot],38))</f>
        <v/>
      </c>
      <c r="AP78" s="4" t="str">
        <f>IF($A78="","",COUNTIFS(RawData[Date],$A78,RawData[Slot],39))</f>
        <v/>
      </c>
      <c r="AQ78" s="4" t="str">
        <f>IF($A78="","",COUNTIFS(RawData[Date],$A78,RawData[Slot],40))</f>
        <v/>
      </c>
      <c r="AR78" s="4" t="str">
        <f>IF($A78="","",COUNTIFS(RawData[Date],$A78,RawData[Slot],41))</f>
        <v/>
      </c>
      <c r="AS78" s="4" t="str">
        <f>IF($A78="","",COUNTIFS(RawData[Date],$A78,RawData[Slot],42))</f>
        <v/>
      </c>
      <c r="AT78" s="4" t="str">
        <f>IF($A78="","",COUNTIFS(RawData[Date],$A78,RawData[Slot],43))</f>
        <v/>
      </c>
      <c r="AU78" s="4" t="str">
        <f>IF($A78="","",COUNTIFS(RawData[Date],$A78,RawData[Slot],44))</f>
        <v/>
      </c>
      <c r="AV78" s="4" t="str">
        <f>IF($A78="","",COUNTIFS(RawData[Date],$A78,RawData[Slot],45))</f>
        <v/>
      </c>
      <c r="AW78" s="4" t="str">
        <f>IF($A78="","",COUNTIFS(RawData[Date],$A78,RawData[Slot],46))</f>
        <v/>
      </c>
      <c r="AX78" s="4" t="str">
        <f>IF($A78="","",COUNTIFS(RawData[Date],$A78,RawData[Slot],47))</f>
        <v/>
      </c>
      <c r="AY78" s="4" t="str">
        <f t="shared" si="5"/>
        <v/>
      </c>
    </row>
    <row r="79" spans="1:51" x14ac:dyDescent="0.25">
      <c r="A79" s="7"/>
      <c r="B79" s="4" t="str">
        <f t="shared" si="4"/>
        <v/>
      </c>
      <c r="C79" s="4" t="str">
        <f>IF($A79="","",COUNTIFS(RawData[Date],$A79,RawData[Slot],0))</f>
        <v/>
      </c>
      <c r="D79" s="4" t="str">
        <f>IF($A79="","",COUNTIFS(RawData[Date],$A79,RawData[Slot],1))</f>
        <v/>
      </c>
      <c r="E79" s="4" t="str">
        <f>IF($A79="","",COUNTIFS(RawData[Date],$A79,RawData[Slot],2))</f>
        <v/>
      </c>
      <c r="F79" s="4" t="str">
        <f>IF($A79="","",COUNTIFS(RawData[Date],$A79,RawData[Slot],3))</f>
        <v/>
      </c>
      <c r="G79" s="4" t="str">
        <f>IF($A79="","",COUNTIFS(RawData[Date],$A79,RawData[Slot],4))</f>
        <v/>
      </c>
      <c r="H79" s="4" t="str">
        <f>IF($A79="","",COUNTIFS(RawData[Date],$A79,RawData[Slot],5))</f>
        <v/>
      </c>
      <c r="I79" s="4" t="str">
        <f>IF($A79="","",COUNTIFS(RawData[Date],$A79,RawData[Slot],6))</f>
        <v/>
      </c>
      <c r="J79" s="4" t="str">
        <f>IF($A79="","",COUNTIFS(RawData[Date],$A79,RawData[Slot],7))</f>
        <v/>
      </c>
      <c r="K79" s="4" t="str">
        <f>IF($A79="","",COUNTIFS(RawData[Date],$A79,RawData[Slot],8))</f>
        <v/>
      </c>
      <c r="L79" s="4" t="str">
        <f>IF($A79="","",COUNTIFS(RawData[Date],$A79,RawData[Slot],9))</f>
        <v/>
      </c>
      <c r="M79" s="4" t="str">
        <f>IF($A79="","",COUNTIFS(RawData[Date],$A79,RawData[Slot],10))</f>
        <v/>
      </c>
      <c r="N79" s="4" t="str">
        <f>IF($A79="","",COUNTIFS(RawData[Date],$A79,RawData[Slot],11))</f>
        <v/>
      </c>
      <c r="O79" s="4" t="str">
        <f>IF($A79="","",COUNTIFS(RawData[Date],$A79,RawData[Slot],12))</f>
        <v/>
      </c>
      <c r="P79" s="4" t="str">
        <f>IF($A79="","",COUNTIFS(RawData[Date],$A79,RawData[Slot],13))</f>
        <v/>
      </c>
      <c r="Q79" s="4" t="str">
        <f>IF($A79="","",COUNTIFS(RawData[Date],$A79,RawData[Slot],14))</f>
        <v/>
      </c>
      <c r="R79" s="4" t="str">
        <f>IF($A79="","",COUNTIFS(RawData[Date],$A79,RawData[Slot],15))</f>
        <v/>
      </c>
      <c r="S79" s="4" t="str">
        <f>IF($A79="","",COUNTIFS(RawData[Date],$A79,RawData[Slot],16))</f>
        <v/>
      </c>
      <c r="T79" s="4" t="str">
        <f>IF($A79="","",COUNTIFS(RawData[Date],$A79,RawData[Slot],17))</f>
        <v/>
      </c>
      <c r="U79" s="4" t="str">
        <f>IF($A79="","",COUNTIFS(RawData[Date],$A79,RawData[Slot],18))</f>
        <v/>
      </c>
      <c r="V79" s="4" t="str">
        <f>IF($A79="","",COUNTIFS(RawData[Date],$A79,RawData[Slot],19))</f>
        <v/>
      </c>
      <c r="W79" s="4" t="str">
        <f>IF($A79="","",COUNTIFS(RawData[Date],$A79,RawData[Slot],20))</f>
        <v/>
      </c>
      <c r="X79" s="4" t="str">
        <f>IF($A79="","",COUNTIFS(RawData[Date],$A79,RawData[Slot],21))</f>
        <v/>
      </c>
      <c r="Y79" s="4" t="str">
        <f>IF($A79="","",COUNTIFS(RawData[Date],$A79,RawData[Slot],22))</f>
        <v/>
      </c>
      <c r="Z79" s="4" t="str">
        <f>IF($A79="","",COUNTIFS(RawData[Date],$A79,RawData[Slot],23))</f>
        <v/>
      </c>
      <c r="AA79" s="4" t="str">
        <f>IF($A79="","",COUNTIFS(RawData[Date],$A79,RawData[Slot],24))</f>
        <v/>
      </c>
      <c r="AB79" s="4" t="str">
        <f>IF($A79="","",COUNTIFS(RawData[Date],$A79,RawData[Slot],25))</f>
        <v/>
      </c>
      <c r="AC79" s="4" t="str">
        <f>IF($A79="","",COUNTIFS(RawData[Date],$A79,RawData[Slot],26))</f>
        <v/>
      </c>
      <c r="AD79" s="4" t="str">
        <f>IF($A79="","",COUNTIFS(RawData[Date],$A79,RawData[Slot],27))</f>
        <v/>
      </c>
      <c r="AE79" s="4" t="str">
        <f>IF($A79="","",COUNTIFS(RawData[Date],$A79,RawData[Slot],28))</f>
        <v/>
      </c>
      <c r="AF79" s="4" t="str">
        <f>IF($A79="","",COUNTIFS(RawData[Date],$A79,RawData[Slot],29))</f>
        <v/>
      </c>
      <c r="AG79" s="4" t="str">
        <f>IF($A79="","",COUNTIFS(RawData[Date],$A79,RawData[Slot],30))</f>
        <v/>
      </c>
      <c r="AH79" s="4" t="str">
        <f>IF($A79="","",COUNTIFS(RawData[Date],$A79,RawData[Slot],31))</f>
        <v/>
      </c>
      <c r="AI79" s="4" t="str">
        <f>IF($A79="","",COUNTIFS(RawData[Date],$A79,RawData[Slot],32))</f>
        <v/>
      </c>
      <c r="AJ79" s="4" t="str">
        <f>IF($A79="","",COUNTIFS(RawData[Date],$A79,RawData[Slot],33))</f>
        <v/>
      </c>
      <c r="AK79" s="4" t="str">
        <f>IF($A79="","",COUNTIFS(RawData[Date],$A79,RawData[Slot],34))</f>
        <v/>
      </c>
      <c r="AL79" s="4" t="str">
        <f>IF($A79="","",COUNTIFS(RawData[Date],$A79,RawData[Slot],35))</f>
        <v/>
      </c>
      <c r="AM79" s="4" t="str">
        <f>IF($A79="","",COUNTIFS(RawData[Date],$A79,RawData[Slot],36))</f>
        <v/>
      </c>
      <c r="AN79" s="4" t="str">
        <f>IF($A79="","",COUNTIFS(RawData[Date],$A79,RawData[Slot],37))</f>
        <v/>
      </c>
      <c r="AO79" s="4" t="str">
        <f>IF($A79="","",COUNTIFS(RawData[Date],$A79,RawData[Slot],38))</f>
        <v/>
      </c>
      <c r="AP79" s="4" t="str">
        <f>IF($A79="","",COUNTIFS(RawData[Date],$A79,RawData[Slot],39))</f>
        <v/>
      </c>
      <c r="AQ79" s="4" t="str">
        <f>IF($A79="","",COUNTIFS(RawData[Date],$A79,RawData[Slot],40))</f>
        <v/>
      </c>
      <c r="AR79" s="4" t="str">
        <f>IF($A79="","",COUNTIFS(RawData[Date],$A79,RawData[Slot],41))</f>
        <v/>
      </c>
      <c r="AS79" s="4" t="str">
        <f>IF($A79="","",COUNTIFS(RawData[Date],$A79,RawData[Slot],42))</f>
        <v/>
      </c>
      <c r="AT79" s="4" t="str">
        <f>IF($A79="","",COUNTIFS(RawData[Date],$A79,RawData[Slot],43))</f>
        <v/>
      </c>
      <c r="AU79" s="4" t="str">
        <f>IF($A79="","",COUNTIFS(RawData[Date],$A79,RawData[Slot],44))</f>
        <v/>
      </c>
      <c r="AV79" s="4" t="str">
        <f>IF($A79="","",COUNTIFS(RawData[Date],$A79,RawData[Slot],45))</f>
        <v/>
      </c>
      <c r="AW79" s="4" t="str">
        <f>IF($A79="","",COUNTIFS(RawData[Date],$A79,RawData[Slot],46))</f>
        <v/>
      </c>
      <c r="AX79" s="4" t="str">
        <f>IF($A79="","",COUNTIFS(RawData[Date],$A79,RawData[Slot],47))</f>
        <v/>
      </c>
      <c r="AY79" s="4" t="str">
        <f t="shared" si="5"/>
        <v/>
      </c>
    </row>
    <row r="80" spans="1:51" x14ac:dyDescent="0.25">
      <c r="A80" s="7"/>
      <c r="B80" s="4" t="str">
        <f t="shared" si="4"/>
        <v/>
      </c>
      <c r="C80" s="4" t="str">
        <f>IF($A80="","",COUNTIFS(RawData[Date],$A80,RawData[Slot],0))</f>
        <v/>
      </c>
      <c r="D80" s="4" t="str">
        <f>IF($A80="","",COUNTIFS(RawData[Date],$A80,RawData[Slot],1))</f>
        <v/>
      </c>
      <c r="E80" s="4" t="str">
        <f>IF($A80="","",COUNTIFS(RawData[Date],$A80,RawData[Slot],2))</f>
        <v/>
      </c>
      <c r="F80" s="4" t="str">
        <f>IF($A80="","",COUNTIFS(RawData[Date],$A80,RawData[Slot],3))</f>
        <v/>
      </c>
      <c r="G80" s="4" t="str">
        <f>IF($A80="","",COUNTIFS(RawData[Date],$A80,RawData[Slot],4))</f>
        <v/>
      </c>
      <c r="H80" s="4" t="str">
        <f>IF($A80="","",COUNTIFS(RawData[Date],$A80,RawData[Slot],5))</f>
        <v/>
      </c>
      <c r="I80" s="4" t="str">
        <f>IF($A80="","",COUNTIFS(RawData[Date],$A80,RawData[Slot],6))</f>
        <v/>
      </c>
      <c r="J80" s="4" t="str">
        <f>IF($A80="","",COUNTIFS(RawData[Date],$A80,RawData[Slot],7))</f>
        <v/>
      </c>
      <c r="K80" s="4" t="str">
        <f>IF($A80="","",COUNTIFS(RawData[Date],$A80,RawData[Slot],8))</f>
        <v/>
      </c>
      <c r="L80" s="4" t="str">
        <f>IF($A80="","",COUNTIFS(RawData[Date],$A80,RawData[Slot],9))</f>
        <v/>
      </c>
      <c r="M80" s="4" t="str">
        <f>IF($A80="","",COUNTIFS(RawData[Date],$A80,RawData[Slot],10))</f>
        <v/>
      </c>
      <c r="N80" s="4" t="str">
        <f>IF($A80="","",COUNTIFS(RawData[Date],$A80,RawData[Slot],11))</f>
        <v/>
      </c>
      <c r="O80" s="4" t="str">
        <f>IF($A80="","",COUNTIFS(RawData[Date],$A80,RawData[Slot],12))</f>
        <v/>
      </c>
      <c r="P80" s="4" t="str">
        <f>IF($A80="","",COUNTIFS(RawData[Date],$A80,RawData[Slot],13))</f>
        <v/>
      </c>
      <c r="Q80" s="4" t="str">
        <f>IF($A80="","",COUNTIFS(RawData[Date],$A80,RawData[Slot],14))</f>
        <v/>
      </c>
      <c r="R80" s="4" t="str">
        <f>IF($A80="","",COUNTIFS(RawData[Date],$A80,RawData[Slot],15))</f>
        <v/>
      </c>
      <c r="S80" s="4" t="str">
        <f>IF($A80="","",COUNTIFS(RawData[Date],$A80,RawData[Slot],16))</f>
        <v/>
      </c>
      <c r="T80" s="4" t="str">
        <f>IF($A80="","",COUNTIFS(RawData[Date],$A80,RawData[Slot],17))</f>
        <v/>
      </c>
      <c r="U80" s="4" t="str">
        <f>IF($A80="","",COUNTIFS(RawData[Date],$A80,RawData[Slot],18))</f>
        <v/>
      </c>
      <c r="V80" s="4" t="str">
        <f>IF($A80="","",COUNTIFS(RawData[Date],$A80,RawData[Slot],19))</f>
        <v/>
      </c>
      <c r="W80" s="4" t="str">
        <f>IF($A80="","",COUNTIFS(RawData[Date],$A80,RawData[Slot],20))</f>
        <v/>
      </c>
      <c r="X80" s="4" t="str">
        <f>IF($A80="","",COUNTIFS(RawData[Date],$A80,RawData[Slot],21))</f>
        <v/>
      </c>
      <c r="Y80" s="4" t="str">
        <f>IF($A80="","",COUNTIFS(RawData[Date],$A80,RawData[Slot],22))</f>
        <v/>
      </c>
      <c r="Z80" s="4" t="str">
        <f>IF($A80="","",COUNTIFS(RawData[Date],$A80,RawData[Slot],23))</f>
        <v/>
      </c>
      <c r="AA80" s="4" t="str">
        <f>IF($A80="","",COUNTIFS(RawData[Date],$A80,RawData[Slot],24))</f>
        <v/>
      </c>
      <c r="AB80" s="4" t="str">
        <f>IF($A80="","",COUNTIFS(RawData[Date],$A80,RawData[Slot],25))</f>
        <v/>
      </c>
      <c r="AC80" s="4" t="str">
        <f>IF($A80="","",COUNTIFS(RawData[Date],$A80,RawData[Slot],26))</f>
        <v/>
      </c>
      <c r="AD80" s="4" t="str">
        <f>IF($A80="","",COUNTIFS(RawData[Date],$A80,RawData[Slot],27))</f>
        <v/>
      </c>
      <c r="AE80" s="4" t="str">
        <f>IF($A80="","",COUNTIFS(RawData[Date],$A80,RawData[Slot],28))</f>
        <v/>
      </c>
      <c r="AF80" s="4" t="str">
        <f>IF($A80="","",COUNTIFS(RawData[Date],$A80,RawData[Slot],29))</f>
        <v/>
      </c>
      <c r="AG80" s="4" t="str">
        <f>IF($A80="","",COUNTIFS(RawData[Date],$A80,RawData[Slot],30))</f>
        <v/>
      </c>
      <c r="AH80" s="4" t="str">
        <f>IF($A80="","",COUNTIFS(RawData[Date],$A80,RawData[Slot],31))</f>
        <v/>
      </c>
      <c r="AI80" s="4" t="str">
        <f>IF($A80="","",COUNTIFS(RawData[Date],$A80,RawData[Slot],32))</f>
        <v/>
      </c>
      <c r="AJ80" s="4" t="str">
        <f>IF($A80="","",COUNTIFS(RawData[Date],$A80,RawData[Slot],33))</f>
        <v/>
      </c>
      <c r="AK80" s="4" t="str">
        <f>IF($A80="","",COUNTIFS(RawData[Date],$A80,RawData[Slot],34))</f>
        <v/>
      </c>
      <c r="AL80" s="4" t="str">
        <f>IF($A80="","",COUNTIFS(RawData[Date],$A80,RawData[Slot],35))</f>
        <v/>
      </c>
      <c r="AM80" s="4" t="str">
        <f>IF($A80="","",COUNTIFS(RawData[Date],$A80,RawData[Slot],36))</f>
        <v/>
      </c>
      <c r="AN80" s="4" t="str">
        <f>IF($A80="","",COUNTIFS(RawData[Date],$A80,RawData[Slot],37))</f>
        <v/>
      </c>
      <c r="AO80" s="4" t="str">
        <f>IF($A80="","",COUNTIFS(RawData[Date],$A80,RawData[Slot],38))</f>
        <v/>
      </c>
      <c r="AP80" s="4" t="str">
        <f>IF($A80="","",COUNTIFS(RawData[Date],$A80,RawData[Slot],39))</f>
        <v/>
      </c>
      <c r="AQ80" s="4" t="str">
        <f>IF($A80="","",COUNTIFS(RawData[Date],$A80,RawData[Slot],40))</f>
        <v/>
      </c>
      <c r="AR80" s="4" t="str">
        <f>IF($A80="","",COUNTIFS(RawData[Date],$A80,RawData[Slot],41))</f>
        <v/>
      </c>
      <c r="AS80" s="4" t="str">
        <f>IF($A80="","",COUNTIFS(RawData[Date],$A80,RawData[Slot],42))</f>
        <v/>
      </c>
      <c r="AT80" s="4" t="str">
        <f>IF($A80="","",COUNTIFS(RawData[Date],$A80,RawData[Slot],43))</f>
        <v/>
      </c>
      <c r="AU80" s="4" t="str">
        <f>IF($A80="","",COUNTIFS(RawData[Date],$A80,RawData[Slot],44))</f>
        <v/>
      </c>
      <c r="AV80" s="4" t="str">
        <f>IF($A80="","",COUNTIFS(RawData[Date],$A80,RawData[Slot],45))</f>
        <v/>
      </c>
      <c r="AW80" s="4" t="str">
        <f>IF($A80="","",COUNTIFS(RawData[Date],$A80,RawData[Slot],46))</f>
        <v/>
      </c>
      <c r="AX80" s="4" t="str">
        <f>IF($A80="","",COUNTIFS(RawData[Date],$A80,RawData[Slot],47))</f>
        <v/>
      </c>
      <c r="AY80" s="4" t="str">
        <f t="shared" si="5"/>
        <v/>
      </c>
    </row>
    <row r="81" spans="1:51" x14ac:dyDescent="0.25">
      <c r="A81" s="7"/>
      <c r="B81" s="4" t="str">
        <f t="shared" si="4"/>
        <v/>
      </c>
      <c r="C81" s="4" t="str">
        <f>IF($A81="","",COUNTIFS(RawData[Date],$A81,RawData[Slot],0))</f>
        <v/>
      </c>
      <c r="D81" s="4" t="str">
        <f>IF($A81="","",COUNTIFS(RawData[Date],$A81,RawData[Slot],1))</f>
        <v/>
      </c>
      <c r="E81" s="4" t="str">
        <f>IF($A81="","",COUNTIFS(RawData[Date],$A81,RawData[Slot],2))</f>
        <v/>
      </c>
      <c r="F81" s="4" t="str">
        <f>IF($A81="","",COUNTIFS(RawData[Date],$A81,RawData[Slot],3))</f>
        <v/>
      </c>
      <c r="G81" s="4" t="str">
        <f>IF($A81="","",COUNTIFS(RawData[Date],$A81,RawData[Slot],4))</f>
        <v/>
      </c>
      <c r="H81" s="4" t="str">
        <f>IF($A81="","",COUNTIFS(RawData[Date],$A81,RawData[Slot],5))</f>
        <v/>
      </c>
      <c r="I81" s="4" t="str">
        <f>IF($A81="","",COUNTIFS(RawData[Date],$A81,RawData[Slot],6))</f>
        <v/>
      </c>
      <c r="J81" s="4" t="str">
        <f>IF($A81="","",COUNTIFS(RawData[Date],$A81,RawData[Slot],7))</f>
        <v/>
      </c>
      <c r="K81" s="4" t="str">
        <f>IF($A81="","",COUNTIFS(RawData[Date],$A81,RawData[Slot],8))</f>
        <v/>
      </c>
      <c r="L81" s="4" t="str">
        <f>IF($A81="","",COUNTIFS(RawData[Date],$A81,RawData[Slot],9))</f>
        <v/>
      </c>
      <c r="M81" s="4" t="str">
        <f>IF($A81="","",COUNTIFS(RawData[Date],$A81,RawData[Slot],10))</f>
        <v/>
      </c>
      <c r="N81" s="4" t="str">
        <f>IF($A81="","",COUNTIFS(RawData[Date],$A81,RawData[Slot],11))</f>
        <v/>
      </c>
      <c r="O81" s="4" t="str">
        <f>IF($A81="","",COUNTIFS(RawData[Date],$A81,RawData[Slot],12))</f>
        <v/>
      </c>
      <c r="P81" s="4" t="str">
        <f>IF($A81="","",COUNTIFS(RawData[Date],$A81,RawData[Slot],13))</f>
        <v/>
      </c>
      <c r="Q81" s="4" t="str">
        <f>IF($A81="","",COUNTIFS(RawData[Date],$A81,RawData[Slot],14))</f>
        <v/>
      </c>
      <c r="R81" s="4" t="str">
        <f>IF($A81="","",COUNTIFS(RawData[Date],$A81,RawData[Slot],15))</f>
        <v/>
      </c>
      <c r="S81" s="4" t="str">
        <f>IF($A81="","",COUNTIFS(RawData[Date],$A81,RawData[Slot],16))</f>
        <v/>
      </c>
      <c r="T81" s="4" t="str">
        <f>IF($A81="","",COUNTIFS(RawData[Date],$A81,RawData[Slot],17))</f>
        <v/>
      </c>
      <c r="U81" s="4" t="str">
        <f>IF($A81="","",COUNTIFS(RawData[Date],$A81,RawData[Slot],18))</f>
        <v/>
      </c>
      <c r="V81" s="4" t="str">
        <f>IF($A81="","",COUNTIFS(RawData[Date],$A81,RawData[Slot],19))</f>
        <v/>
      </c>
      <c r="W81" s="4" t="str">
        <f>IF($A81="","",COUNTIFS(RawData[Date],$A81,RawData[Slot],20))</f>
        <v/>
      </c>
      <c r="X81" s="4" t="str">
        <f>IF($A81="","",COUNTIFS(RawData[Date],$A81,RawData[Slot],21))</f>
        <v/>
      </c>
      <c r="Y81" s="4" t="str">
        <f>IF($A81="","",COUNTIFS(RawData[Date],$A81,RawData[Slot],22))</f>
        <v/>
      </c>
      <c r="Z81" s="4" t="str">
        <f>IF($A81="","",COUNTIFS(RawData[Date],$A81,RawData[Slot],23))</f>
        <v/>
      </c>
      <c r="AA81" s="4" t="str">
        <f>IF($A81="","",COUNTIFS(RawData[Date],$A81,RawData[Slot],24))</f>
        <v/>
      </c>
      <c r="AB81" s="4" t="str">
        <f>IF($A81="","",COUNTIFS(RawData[Date],$A81,RawData[Slot],25))</f>
        <v/>
      </c>
      <c r="AC81" s="4" t="str">
        <f>IF($A81="","",COUNTIFS(RawData[Date],$A81,RawData[Slot],26))</f>
        <v/>
      </c>
      <c r="AD81" s="4" t="str">
        <f>IF($A81="","",COUNTIFS(RawData[Date],$A81,RawData[Slot],27))</f>
        <v/>
      </c>
      <c r="AE81" s="4" t="str">
        <f>IF($A81="","",COUNTIFS(RawData[Date],$A81,RawData[Slot],28))</f>
        <v/>
      </c>
      <c r="AF81" s="4" t="str">
        <f>IF($A81="","",COUNTIFS(RawData[Date],$A81,RawData[Slot],29))</f>
        <v/>
      </c>
      <c r="AG81" s="4" t="str">
        <f>IF($A81="","",COUNTIFS(RawData[Date],$A81,RawData[Slot],30))</f>
        <v/>
      </c>
      <c r="AH81" s="4" t="str">
        <f>IF($A81="","",COUNTIFS(RawData[Date],$A81,RawData[Slot],31))</f>
        <v/>
      </c>
      <c r="AI81" s="4" t="str">
        <f>IF($A81="","",COUNTIFS(RawData[Date],$A81,RawData[Slot],32))</f>
        <v/>
      </c>
      <c r="AJ81" s="4" t="str">
        <f>IF($A81="","",COUNTIFS(RawData[Date],$A81,RawData[Slot],33))</f>
        <v/>
      </c>
      <c r="AK81" s="4" t="str">
        <f>IF($A81="","",COUNTIFS(RawData[Date],$A81,RawData[Slot],34))</f>
        <v/>
      </c>
      <c r="AL81" s="4" t="str">
        <f>IF($A81="","",COUNTIFS(RawData[Date],$A81,RawData[Slot],35))</f>
        <v/>
      </c>
      <c r="AM81" s="4" t="str">
        <f>IF($A81="","",COUNTIFS(RawData[Date],$A81,RawData[Slot],36))</f>
        <v/>
      </c>
      <c r="AN81" s="4" t="str">
        <f>IF($A81="","",COUNTIFS(RawData[Date],$A81,RawData[Slot],37))</f>
        <v/>
      </c>
      <c r="AO81" s="4" t="str">
        <f>IF($A81="","",COUNTIFS(RawData[Date],$A81,RawData[Slot],38))</f>
        <v/>
      </c>
      <c r="AP81" s="4" t="str">
        <f>IF($A81="","",COUNTIFS(RawData[Date],$A81,RawData[Slot],39))</f>
        <v/>
      </c>
      <c r="AQ81" s="4" t="str">
        <f>IF($A81="","",COUNTIFS(RawData[Date],$A81,RawData[Slot],40))</f>
        <v/>
      </c>
      <c r="AR81" s="4" t="str">
        <f>IF($A81="","",COUNTIFS(RawData[Date],$A81,RawData[Slot],41))</f>
        <v/>
      </c>
      <c r="AS81" s="4" t="str">
        <f>IF($A81="","",COUNTIFS(RawData[Date],$A81,RawData[Slot],42))</f>
        <v/>
      </c>
      <c r="AT81" s="4" t="str">
        <f>IF($A81="","",COUNTIFS(RawData[Date],$A81,RawData[Slot],43))</f>
        <v/>
      </c>
      <c r="AU81" s="4" t="str">
        <f>IF($A81="","",COUNTIFS(RawData[Date],$A81,RawData[Slot],44))</f>
        <v/>
      </c>
      <c r="AV81" s="4" t="str">
        <f>IF($A81="","",COUNTIFS(RawData[Date],$A81,RawData[Slot],45))</f>
        <v/>
      </c>
      <c r="AW81" s="4" t="str">
        <f>IF($A81="","",COUNTIFS(RawData[Date],$A81,RawData[Slot],46))</f>
        <v/>
      </c>
      <c r="AX81" s="4" t="str">
        <f>IF($A81="","",COUNTIFS(RawData[Date],$A81,RawData[Slot],47))</f>
        <v/>
      </c>
      <c r="AY81" s="4" t="str">
        <f t="shared" si="5"/>
        <v/>
      </c>
    </row>
    <row r="82" spans="1:51" x14ac:dyDescent="0.25">
      <c r="A82" s="7"/>
      <c r="B82" s="4" t="str">
        <f t="shared" si="4"/>
        <v/>
      </c>
      <c r="C82" s="4" t="str">
        <f>IF($A82="","",COUNTIFS(RawData[Date],$A82,RawData[Slot],0))</f>
        <v/>
      </c>
      <c r="D82" s="4" t="str">
        <f>IF($A82="","",COUNTIFS(RawData[Date],$A82,RawData[Slot],1))</f>
        <v/>
      </c>
      <c r="E82" s="4" t="str">
        <f>IF($A82="","",COUNTIFS(RawData[Date],$A82,RawData[Slot],2))</f>
        <v/>
      </c>
      <c r="F82" s="4" t="str">
        <f>IF($A82="","",COUNTIFS(RawData[Date],$A82,RawData[Slot],3))</f>
        <v/>
      </c>
      <c r="G82" s="4" t="str">
        <f>IF($A82="","",COUNTIFS(RawData[Date],$A82,RawData[Slot],4))</f>
        <v/>
      </c>
      <c r="H82" s="4" t="str">
        <f>IF($A82="","",COUNTIFS(RawData[Date],$A82,RawData[Slot],5))</f>
        <v/>
      </c>
      <c r="I82" s="4" t="str">
        <f>IF($A82="","",COUNTIFS(RawData[Date],$A82,RawData[Slot],6))</f>
        <v/>
      </c>
      <c r="J82" s="4" t="str">
        <f>IF($A82="","",COUNTIFS(RawData[Date],$A82,RawData[Slot],7))</f>
        <v/>
      </c>
      <c r="K82" s="4" t="str">
        <f>IF($A82="","",COUNTIFS(RawData[Date],$A82,RawData[Slot],8))</f>
        <v/>
      </c>
      <c r="L82" s="4" t="str">
        <f>IF($A82="","",COUNTIFS(RawData[Date],$A82,RawData[Slot],9))</f>
        <v/>
      </c>
      <c r="M82" s="4" t="str">
        <f>IF($A82="","",COUNTIFS(RawData[Date],$A82,RawData[Slot],10))</f>
        <v/>
      </c>
      <c r="N82" s="4" t="str">
        <f>IF($A82="","",COUNTIFS(RawData[Date],$A82,RawData[Slot],11))</f>
        <v/>
      </c>
      <c r="O82" s="4" t="str">
        <f>IF($A82="","",COUNTIFS(RawData[Date],$A82,RawData[Slot],12))</f>
        <v/>
      </c>
      <c r="P82" s="4" t="str">
        <f>IF($A82="","",COUNTIFS(RawData[Date],$A82,RawData[Slot],13))</f>
        <v/>
      </c>
      <c r="Q82" s="4" t="str">
        <f>IF($A82="","",COUNTIFS(RawData[Date],$A82,RawData[Slot],14))</f>
        <v/>
      </c>
      <c r="R82" s="4" t="str">
        <f>IF($A82="","",COUNTIFS(RawData[Date],$A82,RawData[Slot],15))</f>
        <v/>
      </c>
      <c r="S82" s="4" t="str">
        <f>IF($A82="","",COUNTIFS(RawData[Date],$A82,RawData[Slot],16))</f>
        <v/>
      </c>
      <c r="T82" s="4" t="str">
        <f>IF($A82="","",COUNTIFS(RawData[Date],$A82,RawData[Slot],17))</f>
        <v/>
      </c>
      <c r="U82" s="4" t="str">
        <f>IF($A82="","",COUNTIFS(RawData[Date],$A82,RawData[Slot],18))</f>
        <v/>
      </c>
      <c r="V82" s="4" t="str">
        <f>IF($A82="","",COUNTIFS(RawData[Date],$A82,RawData[Slot],19))</f>
        <v/>
      </c>
      <c r="W82" s="4" t="str">
        <f>IF($A82="","",COUNTIFS(RawData[Date],$A82,RawData[Slot],20))</f>
        <v/>
      </c>
      <c r="X82" s="4" t="str">
        <f>IF($A82="","",COUNTIFS(RawData[Date],$A82,RawData[Slot],21))</f>
        <v/>
      </c>
      <c r="Y82" s="4" t="str">
        <f>IF($A82="","",COUNTIFS(RawData[Date],$A82,RawData[Slot],22))</f>
        <v/>
      </c>
      <c r="Z82" s="4" t="str">
        <f>IF($A82="","",COUNTIFS(RawData[Date],$A82,RawData[Slot],23))</f>
        <v/>
      </c>
      <c r="AA82" s="4" t="str">
        <f>IF($A82="","",COUNTIFS(RawData[Date],$A82,RawData[Slot],24))</f>
        <v/>
      </c>
      <c r="AB82" s="4" t="str">
        <f>IF($A82="","",COUNTIFS(RawData[Date],$A82,RawData[Slot],25))</f>
        <v/>
      </c>
      <c r="AC82" s="4" t="str">
        <f>IF($A82="","",COUNTIFS(RawData[Date],$A82,RawData[Slot],26))</f>
        <v/>
      </c>
      <c r="AD82" s="4" t="str">
        <f>IF($A82="","",COUNTIFS(RawData[Date],$A82,RawData[Slot],27))</f>
        <v/>
      </c>
      <c r="AE82" s="4" t="str">
        <f>IF($A82="","",COUNTIFS(RawData[Date],$A82,RawData[Slot],28))</f>
        <v/>
      </c>
      <c r="AF82" s="4" t="str">
        <f>IF($A82="","",COUNTIFS(RawData[Date],$A82,RawData[Slot],29))</f>
        <v/>
      </c>
      <c r="AG82" s="4" t="str">
        <f>IF($A82="","",COUNTIFS(RawData[Date],$A82,RawData[Slot],30))</f>
        <v/>
      </c>
      <c r="AH82" s="4" t="str">
        <f>IF($A82="","",COUNTIFS(RawData[Date],$A82,RawData[Slot],31))</f>
        <v/>
      </c>
      <c r="AI82" s="4" t="str">
        <f>IF($A82="","",COUNTIFS(RawData[Date],$A82,RawData[Slot],32))</f>
        <v/>
      </c>
      <c r="AJ82" s="4" t="str">
        <f>IF($A82="","",COUNTIFS(RawData[Date],$A82,RawData[Slot],33))</f>
        <v/>
      </c>
      <c r="AK82" s="4" t="str">
        <f>IF($A82="","",COUNTIFS(RawData[Date],$A82,RawData[Slot],34))</f>
        <v/>
      </c>
      <c r="AL82" s="4" t="str">
        <f>IF($A82="","",COUNTIFS(RawData[Date],$A82,RawData[Slot],35))</f>
        <v/>
      </c>
      <c r="AM82" s="4" t="str">
        <f>IF($A82="","",COUNTIFS(RawData[Date],$A82,RawData[Slot],36))</f>
        <v/>
      </c>
      <c r="AN82" s="4" t="str">
        <f>IF($A82="","",COUNTIFS(RawData[Date],$A82,RawData[Slot],37))</f>
        <v/>
      </c>
      <c r="AO82" s="4" t="str">
        <f>IF($A82="","",COUNTIFS(RawData[Date],$A82,RawData[Slot],38))</f>
        <v/>
      </c>
      <c r="AP82" s="4" t="str">
        <f>IF($A82="","",COUNTIFS(RawData[Date],$A82,RawData[Slot],39))</f>
        <v/>
      </c>
      <c r="AQ82" s="4" t="str">
        <f>IF($A82="","",COUNTIFS(RawData[Date],$A82,RawData[Slot],40))</f>
        <v/>
      </c>
      <c r="AR82" s="4" t="str">
        <f>IF($A82="","",COUNTIFS(RawData[Date],$A82,RawData[Slot],41))</f>
        <v/>
      </c>
      <c r="AS82" s="4" t="str">
        <f>IF($A82="","",COUNTIFS(RawData[Date],$A82,RawData[Slot],42))</f>
        <v/>
      </c>
      <c r="AT82" s="4" t="str">
        <f>IF($A82="","",COUNTIFS(RawData[Date],$A82,RawData[Slot],43))</f>
        <v/>
      </c>
      <c r="AU82" s="4" t="str">
        <f>IF($A82="","",COUNTIFS(RawData[Date],$A82,RawData[Slot],44))</f>
        <v/>
      </c>
      <c r="AV82" s="4" t="str">
        <f>IF($A82="","",COUNTIFS(RawData[Date],$A82,RawData[Slot],45))</f>
        <v/>
      </c>
      <c r="AW82" s="4" t="str">
        <f>IF($A82="","",COUNTIFS(RawData[Date],$A82,RawData[Slot],46))</f>
        <v/>
      </c>
      <c r="AX82" s="4" t="str">
        <f>IF($A82="","",COUNTIFS(RawData[Date],$A82,RawData[Slot],47))</f>
        <v/>
      </c>
      <c r="AY82" s="4" t="str">
        <f t="shared" si="5"/>
        <v/>
      </c>
    </row>
    <row r="83" spans="1:51" x14ac:dyDescent="0.25">
      <c r="A83" s="7"/>
      <c r="B83" s="4" t="str">
        <f t="shared" si="4"/>
        <v/>
      </c>
      <c r="C83" s="4" t="str">
        <f>IF($A83="","",COUNTIFS(RawData[Date],$A83,RawData[Slot],0))</f>
        <v/>
      </c>
      <c r="D83" s="4" t="str">
        <f>IF($A83="","",COUNTIFS(RawData[Date],$A83,RawData[Slot],1))</f>
        <v/>
      </c>
      <c r="E83" s="4" t="str">
        <f>IF($A83="","",COUNTIFS(RawData[Date],$A83,RawData[Slot],2))</f>
        <v/>
      </c>
      <c r="F83" s="4" t="str">
        <f>IF($A83="","",COUNTIFS(RawData[Date],$A83,RawData[Slot],3))</f>
        <v/>
      </c>
      <c r="G83" s="4" t="str">
        <f>IF($A83="","",COUNTIFS(RawData[Date],$A83,RawData[Slot],4))</f>
        <v/>
      </c>
      <c r="H83" s="4" t="str">
        <f>IF($A83="","",COUNTIFS(RawData[Date],$A83,RawData[Slot],5))</f>
        <v/>
      </c>
      <c r="I83" s="4" t="str">
        <f>IF($A83="","",COUNTIFS(RawData[Date],$A83,RawData[Slot],6))</f>
        <v/>
      </c>
      <c r="J83" s="4" t="str">
        <f>IF($A83="","",COUNTIFS(RawData[Date],$A83,RawData[Slot],7))</f>
        <v/>
      </c>
      <c r="K83" s="4" t="str">
        <f>IF($A83="","",COUNTIFS(RawData[Date],$A83,RawData[Slot],8))</f>
        <v/>
      </c>
      <c r="L83" s="4" t="str">
        <f>IF($A83="","",COUNTIFS(RawData[Date],$A83,RawData[Slot],9))</f>
        <v/>
      </c>
      <c r="M83" s="4" t="str">
        <f>IF($A83="","",COUNTIFS(RawData[Date],$A83,RawData[Slot],10))</f>
        <v/>
      </c>
      <c r="N83" s="4" t="str">
        <f>IF($A83="","",COUNTIFS(RawData[Date],$A83,RawData[Slot],11))</f>
        <v/>
      </c>
      <c r="O83" s="4" t="str">
        <f>IF($A83="","",COUNTIFS(RawData[Date],$A83,RawData[Slot],12))</f>
        <v/>
      </c>
      <c r="P83" s="4" t="str">
        <f>IF($A83="","",COUNTIFS(RawData[Date],$A83,RawData[Slot],13))</f>
        <v/>
      </c>
      <c r="Q83" s="4" t="str">
        <f>IF($A83="","",COUNTIFS(RawData[Date],$A83,RawData[Slot],14))</f>
        <v/>
      </c>
      <c r="R83" s="4" t="str">
        <f>IF($A83="","",COUNTIFS(RawData[Date],$A83,RawData[Slot],15))</f>
        <v/>
      </c>
      <c r="S83" s="4" t="str">
        <f>IF($A83="","",COUNTIFS(RawData[Date],$A83,RawData[Slot],16))</f>
        <v/>
      </c>
      <c r="T83" s="4" t="str">
        <f>IF($A83="","",COUNTIFS(RawData[Date],$A83,RawData[Slot],17))</f>
        <v/>
      </c>
      <c r="U83" s="4" t="str">
        <f>IF($A83="","",COUNTIFS(RawData[Date],$A83,RawData[Slot],18))</f>
        <v/>
      </c>
      <c r="V83" s="4" t="str">
        <f>IF($A83="","",COUNTIFS(RawData[Date],$A83,RawData[Slot],19))</f>
        <v/>
      </c>
      <c r="W83" s="4" t="str">
        <f>IF($A83="","",COUNTIFS(RawData[Date],$A83,RawData[Slot],20))</f>
        <v/>
      </c>
      <c r="X83" s="4" t="str">
        <f>IF($A83="","",COUNTIFS(RawData[Date],$A83,RawData[Slot],21))</f>
        <v/>
      </c>
      <c r="Y83" s="4" t="str">
        <f>IF($A83="","",COUNTIFS(RawData[Date],$A83,RawData[Slot],22))</f>
        <v/>
      </c>
      <c r="Z83" s="4" t="str">
        <f>IF($A83="","",COUNTIFS(RawData[Date],$A83,RawData[Slot],23))</f>
        <v/>
      </c>
      <c r="AA83" s="4" t="str">
        <f>IF($A83="","",COUNTIFS(RawData[Date],$A83,RawData[Slot],24))</f>
        <v/>
      </c>
      <c r="AB83" s="4" t="str">
        <f>IF($A83="","",COUNTIFS(RawData[Date],$A83,RawData[Slot],25))</f>
        <v/>
      </c>
      <c r="AC83" s="4" t="str">
        <f>IF($A83="","",COUNTIFS(RawData[Date],$A83,RawData[Slot],26))</f>
        <v/>
      </c>
      <c r="AD83" s="4" t="str">
        <f>IF($A83="","",COUNTIFS(RawData[Date],$A83,RawData[Slot],27))</f>
        <v/>
      </c>
      <c r="AE83" s="4" t="str">
        <f>IF($A83="","",COUNTIFS(RawData[Date],$A83,RawData[Slot],28))</f>
        <v/>
      </c>
      <c r="AF83" s="4" t="str">
        <f>IF($A83="","",COUNTIFS(RawData[Date],$A83,RawData[Slot],29))</f>
        <v/>
      </c>
      <c r="AG83" s="4" t="str">
        <f>IF($A83="","",COUNTIFS(RawData[Date],$A83,RawData[Slot],30))</f>
        <v/>
      </c>
      <c r="AH83" s="4" t="str">
        <f>IF($A83="","",COUNTIFS(RawData[Date],$A83,RawData[Slot],31))</f>
        <v/>
      </c>
      <c r="AI83" s="4" t="str">
        <f>IF($A83="","",COUNTIFS(RawData[Date],$A83,RawData[Slot],32))</f>
        <v/>
      </c>
      <c r="AJ83" s="4" t="str">
        <f>IF($A83="","",COUNTIFS(RawData[Date],$A83,RawData[Slot],33))</f>
        <v/>
      </c>
      <c r="AK83" s="4" t="str">
        <f>IF($A83="","",COUNTIFS(RawData[Date],$A83,RawData[Slot],34))</f>
        <v/>
      </c>
      <c r="AL83" s="4" t="str">
        <f>IF($A83="","",COUNTIFS(RawData[Date],$A83,RawData[Slot],35))</f>
        <v/>
      </c>
      <c r="AM83" s="4" t="str">
        <f>IF($A83="","",COUNTIFS(RawData[Date],$A83,RawData[Slot],36))</f>
        <v/>
      </c>
      <c r="AN83" s="4" t="str">
        <f>IF($A83="","",COUNTIFS(RawData[Date],$A83,RawData[Slot],37))</f>
        <v/>
      </c>
      <c r="AO83" s="4" t="str">
        <f>IF($A83="","",COUNTIFS(RawData[Date],$A83,RawData[Slot],38))</f>
        <v/>
      </c>
      <c r="AP83" s="4" t="str">
        <f>IF($A83="","",COUNTIFS(RawData[Date],$A83,RawData[Slot],39))</f>
        <v/>
      </c>
      <c r="AQ83" s="4" t="str">
        <f>IF($A83="","",COUNTIFS(RawData[Date],$A83,RawData[Slot],40))</f>
        <v/>
      </c>
      <c r="AR83" s="4" t="str">
        <f>IF($A83="","",COUNTIFS(RawData[Date],$A83,RawData[Slot],41))</f>
        <v/>
      </c>
      <c r="AS83" s="4" t="str">
        <f>IF($A83="","",COUNTIFS(RawData[Date],$A83,RawData[Slot],42))</f>
        <v/>
      </c>
      <c r="AT83" s="4" t="str">
        <f>IF($A83="","",COUNTIFS(RawData[Date],$A83,RawData[Slot],43))</f>
        <v/>
      </c>
      <c r="AU83" s="4" t="str">
        <f>IF($A83="","",COUNTIFS(RawData[Date],$A83,RawData[Slot],44))</f>
        <v/>
      </c>
      <c r="AV83" s="4" t="str">
        <f>IF($A83="","",COUNTIFS(RawData[Date],$A83,RawData[Slot],45))</f>
        <v/>
      </c>
      <c r="AW83" s="4" t="str">
        <f>IF($A83="","",COUNTIFS(RawData[Date],$A83,RawData[Slot],46))</f>
        <v/>
      </c>
      <c r="AX83" s="4" t="str">
        <f>IF($A83="","",COUNTIFS(RawData[Date],$A83,RawData[Slot],47))</f>
        <v/>
      </c>
      <c r="AY83" s="4" t="str">
        <f t="shared" si="5"/>
        <v/>
      </c>
    </row>
    <row r="84" spans="1:51" x14ac:dyDescent="0.25">
      <c r="A84" s="7"/>
      <c r="B84" s="4" t="str">
        <f t="shared" si="4"/>
        <v/>
      </c>
      <c r="C84" s="4" t="str">
        <f>IF($A84="","",COUNTIFS(RawData[Date],$A84,RawData[Slot],0))</f>
        <v/>
      </c>
      <c r="D84" s="4" t="str">
        <f>IF($A84="","",COUNTIFS(RawData[Date],$A84,RawData[Slot],1))</f>
        <v/>
      </c>
      <c r="E84" s="4" t="str">
        <f>IF($A84="","",COUNTIFS(RawData[Date],$A84,RawData[Slot],2))</f>
        <v/>
      </c>
      <c r="F84" s="4" t="str">
        <f>IF($A84="","",COUNTIFS(RawData[Date],$A84,RawData[Slot],3))</f>
        <v/>
      </c>
      <c r="G84" s="4" t="str">
        <f>IF($A84="","",COUNTIFS(RawData[Date],$A84,RawData[Slot],4))</f>
        <v/>
      </c>
      <c r="H84" s="4" t="str">
        <f>IF($A84="","",COUNTIFS(RawData[Date],$A84,RawData[Slot],5))</f>
        <v/>
      </c>
      <c r="I84" s="4" t="str">
        <f>IF($A84="","",COUNTIFS(RawData[Date],$A84,RawData[Slot],6))</f>
        <v/>
      </c>
      <c r="J84" s="4" t="str">
        <f>IF($A84="","",COUNTIFS(RawData[Date],$A84,RawData[Slot],7))</f>
        <v/>
      </c>
      <c r="K84" s="4" t="str">
        <f>IF($A84="","",COUNTIFS(RawData[Date],$A84,RawData[Slot],8))</f>
        <v/>
      </c>
      <c r="L84" s="4" t="str">
        <f>IF($A84="","",COUNTIFS(RawData[Date],$A84,RawData[Slot],9))</f>
        <v/>
      </c>
      <c r="M84" s="4" t="str">
        <f>IF($A84="","",COUNTIFS(RawData[Date],$A84,RawData[Slot],10))</f>
        <v/>
      </c>
      <c r="N84" s="4" t="str">
        <f>IF($A84="","",COUNTIFS(RawData[Date],$A84,RawData[Slot],11))</f>
        <v/>
      </c>
      <c r="O84" s="4" t="str">
        <f>IF($A84="","",COUNTIFS(RawData[Date],$A84,RawData[Slot],12))</f>
        <v/>
      </c>
      <c r="P84" s="4" t="str">
        <f>IF($A84="","",COUNTIFS(RawData[Date],$A84,RawData[Slot],13))</f>
        <v/>
      </c>
      <c r="Q84" s="4" t="str">
        <f>IF($A84="","",COUNTIFS(RawData[Date],$A84,RawData[Slot],14))</f>
        <v/>
      </c>
      <c r="R84" s="4" t="str">
        <f>IF($A84="","",COUNTIFS(RawData[Date],$A84,RawData[Slot],15))</f>
        <v/>
      </c>
      <c r="S84" s="4" t="str">
        <f>IF($A84="","",COUNTIFS(RawData[Date],$A84,RawData[Slot],16))</f>
        <v/>
      </c>
      <c r="T84" s="4" t="str">
        <f>IF($A84="","",COUNTIFS(RawData[Date],$A84,RawData[Slot],17))</f>
        <v/>
      </c>
      <c r="U84" s="4" t="str">
        <f>IF($A84="","",COUNTIFS(RawData[Date],$A84,RawData[Slot],18))</f>
        <v/>
      </c>
      <c r="V84" s="4" t="str">
        <f>IF($A84="","",COUNTIFS(RawData[Date],$A84,RawData[Slot],19))</f>
        <v/>
      </c>
      <c r="W84" s="4" t="str">
        <f>IF($A84="","",COUNTIFS(RawData[Date],$A84,RawData[Slot],20))</f>
        <v/>
      </c>
      <c r="X84" s="4" t="str">
        <f>IF($A84="","",COUNTIFS(RawData[Date],$A84,RawData[Slot],21))</f>
        <v/>
      </c>
      <c r="Y84" s="4" t="str">
        <f>IF($A84="","",COUNTIFS(RawData[Date],$A84,RawData[Slot],22))</f>
        <v/>
      </c>
      <c r="Z84" s="4" t="str">
        <f>IF($A84="","",COUNTIFS(RawData[Date],$A84,RawData[Slot],23))</f>
        <v/>
      </c>
      <c r="AA84" s="4" t="str">
        <f>IF($A84="","",COUNTIFS(RawData[Date],$A84,RawData[Slot],24))</f>
        <v/>
      </c>
      <c r="AB84" s="4" t="str">
        <f>IF($A84="","",COUNTIFS(RawData[Date],$A84,RawData[Slot],25))</f>
        <v/>
      </c>
      <c r="AC84" s="4" t="str">
        <f>IF($A84="","",COUNTIFS(RawData[Date],$A84,RawData[Slot],26))</f>
        <v/>
      </c>
      <c r="AD84" s="4" t="str">
        <f>IF($A84="","",COUNTIFS(RawData[Date],$A84,RawData[Slot],27))</f>
        <v/>
      </c>
      <c r="AE84" s="4" t="str">
        <f>IF($A84="","",COUNTIFS(RawData[Date],$A84,RawData[Slot],28))</f>
        <v/>
      </c>
      <c r="AF84" s="4" t="str">
        <f>IF($A84="","",COUNTIFS(RawData[Date],$A84,RawData[Slot],29))</f>
        <v/>
      </c>
      <c r="AG84" s="4" t="str">
        <f>IF($A84="","",COUNTIFS(RawData[Date],$A84,RawData[Slot],30))</f>
        <v/>
      </c>
      <c r="AH84" s="4" t="str">
        <f>IF($A84="","",COUNTIFS(RawData[Date],$A84,RawData[Slot],31))</f>
        <v/>
      </c>
      <c r="AI84" s="4" t="str">
        <f>IF($A84="","",COUNTIFS(RawData[Date],$A84,RawData[Slot],32))</f>
        <v/>
      </c>
      <c r="AJ84" s="4" t="str">
        <f>IF($A84="","",COUNTIFS(RawData[Date],$A84,RawData[Slot],33))</f>
        <v/>
      </c>
      <c r="AK84" s="4" t="str">
        <f>IF($A84="","",COUNTIFS(RawData[Date],$A84,RawData[Slot],34))</f>
        <v/>
      </c>
      <c r="AL84" s="4" t="str">
        <f>IF($A84="","",COUNTIFS(RawData[Date],$A84,RawData[Slot],35))</f>
        <v/>
      </c>
      <c r="AM84" s="4" t="str">
        <f>IF($A84="","",COUNTIFS(RawData[Date],$A84,RawData[Slot],36))</f>
        <v/>
      </c>
      <c r="AN84" s="4" t="str">
        <f>IF($A84="","",COUNTIFS(RawData[Date],$A84,RawData[Slot],37))</f>
        <v/>
      </c>
      <c r="AO84" s="4" t="str">
        <f>IF($A84="","",COUNTIFS(RawData[Date],$A84,RawData[Slot],38))</f>
        <v/>
      </c>
      <c r="AP84" s="4" t="str">
        <f>IF($A84="","",COUNTIFS(RawData[Date],$A84,RawData[Slot],39))</f>
        <v/>
      </c>
      <c r="AQ84" s="4" t="str">
        <f>IF($A84="","",COUNTIFS(RawData[Date],$A84,RawData[Slot],40))</f>
        <v/>
      </c>
      <c r="AR84" s="4" t="str">
        <f>IF($A84="","",COUNTIFS(RawData[Date],$A84,RawData[Slot],41))</f>
        <v/>
      </c>
      <c r="AS84" s="4" t="str">
        <f>IF($A84="","",COUNTIFS(RawData[Date],$A84,RawData[Slot],42))</f>
        <v/>
      </c>
      <c r="AT84" s="4" t="str">
        <f>IF($A84="","",COUNTIFS(RawData[Date],$A84,RawData[Slot],43))</f>
        <v/>
      </c>
      <c r="AU84" s="4" t="str">
        <f>IF($A84="","",COUNTIFS(RawData[Date],$A84,RawData[Slot],44))</f>
        <v/>
      </c>
      <c r="AV84" s="4" t="str">
        <f>IF($A84="","",COUNTIFS(RawData[Date],$A84,RawData[Slot],45))</f>
        <v/>
      </c>
      <c r="AW84" s="4" t="str">
        <f>IF($A84="","",COUNTIFS(RawData[Date],$A84,RawData[Slot],46))</f>
        <v/>
      </c>
      <c r="AX84" s="4" t="str">
        <f>IF($A84="","",COUNTIFS(RawData[Date],$A84,RawData[Slot],47))</f>
        <v/>
      </c>
      <c r="AY84" s="4" t="str">
        <f t="shared" si="5"/>
        <v/>
      </c>
    </row>
    <row r="85" spans="1:51" x14ac:dyDescent="0.25">
      <c r="A85" s="7"/>
      <c r="B85" s="4" t="str">
        <f t="shared" si="4"/>
        <v/>
      </c>
      <c r="C85" s="4" t="str">
        <f>IF($A85="","",COUNTIFS(RawData[Date],$A85,RawData[Slot],0))</f>
        <v/>
      </c>
      <c r="D85" s="4" t="str">
        <f>IF($A85="","",COUNTIFS(RawData[Date],$A85,RawData[Slot],1))</f>
        <v/>
      </c>
      <c r="E85" s="4" t="str">
        <f>IF($A85="","",COUNTIFS(RawData[Date],$A85,RawData[Slot],2))</f>
        <v/>
      </c>
      <c r="F85" s="4" t="str">
        <f>IF($A85="","",COUNTIFS(RawData[Date],$A85,RawData[Slot],3))</f>
        <v/>
      </c>
      <c r="G85" s="4" t="str">
        <f>IF($A85="","",COUNTIFS(RawData[Date],$A85,RawData[Slot],4))</f>
        <v/>
      </c>
      <c r="H85" s="4" t="str">
        <f>IF($A85="","",COUNTIFS(RawData[Date],$A85,RawData[Slot],5))</f>
        <v/>
      </c>
      <c r="I85" s="4" t="str">
        <f>IF($A85="","",COUNTIFS(RawData[Date],$A85,RawData[Slot],6))</f>
        <v/>
      </c>
      <c r="J85" s="4" t="str">
        <f>IF($A85="","",COUNTIFS(RawData[Date],$A85,RawData[Slot],7))</f>
        <v/>
      </c>
      <c r="K85" s="4" t="str">
        <f>IF($A85="","",COUNTIFS(RawData[Date],$A85,RawData[Slot],8))</f>
        <v/>
      </c>
      <c r="L85" s="4" t="str">
        <f>IF($A85="","",COUNTIFS(RawData[Date],$A85,RawData[Slot],9))</f>
        <v/>
      </c>
      <c r="M85" s="4" t="str">
        <f>IF($A85="","",COUNTIFS(RawData[Date],$A85,RawData[Slot],10))</f>
        <v/>
      </c>
      <c r="N85" s="4" t="str">
        <f>IF($A85="","",COUNTIFS(RawData[Date],$A85,RawData[Slot],11))</f>
        <v/>
      </c>
      <c r="O85" s="4" t="str">
        <f>IF($A85="","",COUNTIFS(RawData[Date],$A85,RawData[Slot],12))</f>
        <v/>
      </c>
      <c r="P85" s="4" t="str">
        <f>IF($A85="","",COUNTIFS(RawData[Date],$A85,RawData[Slot],13))</f>
        <v/>
      </c>
      <c r="Q85" s="4" t="str">
        <f>IF($A85="","",COUNTIFS(RawData[Date],$A85,RawData[Slot],14))</f>
        <v/>
      </c>
      <c r="R85" s="4" t="str">
        <f>IF($A85="","",COUNTIFS(RawData[Date],$A85,RawData[Slot],15))</f>
        <v/>
      </c>
      <c r="S85" s="4" t="str">
        <f>IF($A85="","",COUNTIFS(RawData[Date],$A85,RawData[Slot],16))</f>
        <v/>
      </c>
      <c r="T85" s="4" t="str">
        <f>IF($A85="","",COUNTIFS(RawData[Date],$A85,RawData[Slot],17))</f>
        <v/>
      </c>
      <c r="U85" s="4" t="str">
        <f>IF($A85="","",COUNTIFS(RawData[Date],$A85,RawData[Slot],18))</f>
        <v/>
      </c>
      <c r="V85" s="4" t="str">
        <f>IF($A85="","",COUNTIFS(RawData[Date],$A85,RawData[Slot],19))</f>
        <v/>
      </c>
      <c r="W85" s="4" t="str">
        <f>IF($A85="","",COUNTIFS(RawData[Date],$A85,RawData[Slot],20))</f>
        <v/>
      </c>
      <c r="X85" s="4" t="str">
        <f>IF($A85="","",COUNTIFS(RawData[Date],$A85,RawData[Slot],21))</f>
        <v/>
      </c>
      <c r="Y85" s="4" t="str">
        <f>IF($A85="","",COUNTIFS(RawData[Date],$A85,RawData[Slot],22))</f>
        <v/>
      </c>
      <c r="Z85" s="4" t="str">
        <f>IF($A85="","",COUNTIFS(RawData[Date],$A85,RawData[Slot],23))</f>
        <v/>
      </c>
      <c r="AA85" s="4" t="str">
        <f>IF($A85="","",COUNTIFS(RawData[Date],$A85,RawData[Slot],24))</f>
        <v/>
      </c>
      <c r="AB85" s="4" t="str">
        <f>IF($A85="","",COUNTIFS(RawData[Date],$A85,RawData[Slot],25))</f>
        <v/>
      </c>
      <c r="AC85" s="4" t="str">
        <f>IF($A85="","",COUNTIFS(RawData[Date],$A85,RawData[Slot],26))</f>
        <v/>
      </c>
      <c r="AD85" s="4" t="str">
        <f>IF($A85="","",COUNTIFS(RawData[Date],$A85,RawData[Slot],27))</f>
        <v/>
      </c>
      <c r="AE85" s="4" t="str">
        <f>IF($A85="","",COUNTIFS(RawData[Date],$A85,RawData[Slot],28))</f>
        <v/>
      </c>
      <c r="AF85" s="4" t="str">
        <f>IF($A85="","",COUNTIFS(RawData[Date],$A85,RawData[Slot],29))</f>
        <v/>
      </c>
      <c r="AG85" s="4" t="str">
        <f>IF($A85="","",COUNTIFS(RawData[Date],$A85,RawData[Slot],30))</f>
        <v/>
      </c>
      <c r="AH85" s="4" t="str">
        <f>IF($A85="","",COUNTIFS(RawData[Date],$A85,RawData[Slot],31))</f>
        <v/>
      </c>
      <c r="AI85" s="4" t="str">
        <f>IF($A85="","",COUNTIFS(RawData[Date],$A85,RawData[Slot],32))</f>
        <v/>
      </c>
      <c r="AJ85" s="4" t="str">
        <f>IF($A85="","",COUNTIFS(RawData[Date],$A85,RawData[Slot],33))</f>
        <v/>
      </c>
      <c r="AK85" s="4" t="str">
        <f>IF($A85="","",COUNTIFS(RawData[Date],$A85,RawData[Slot],34))</f>
        <v/>
      </c>
      <c r="AL85" s="4" t="str">
        <f>IF($A85="","",COUNTIFS(RawData[Date],$A85,RawData[Slot],35))</f>
        <v/>
      </c>
      <c r="AM85" s="4" t="str">
        <f>IF($A85="","",COUNTIFS(RawData[Date],$A85,RawData[Slot],36))</f>
        <v/>
      </c>
      <c r="AN85" s="4" t="str">
        <f>IF($A85="","",COUNTIFS(RawData[Date],$A85,RawData[Slot],37))</f>
        <v/>
      </c>
      <c r="AO85" s="4" t="str">
        <f>IF($A85="","",COUNTIFS(RawData[Date],$A85,RawData[Slot],38))</f>
        <v/>
      </c>
      <c r="AP85" s="4" t="str">
        <f>IF($A85="","",COUNTIFS(RawData[Date],$A85,RawData[Slot],39))</f>
        <v/>
      </c>
      <c r="AQ85" s="4" t="str">
        <f>IF($A85="","",COUNTIFS(RawData[Date],$A85,RawData[Slot],40))</f>
        <v/>
      </c>
      <c r="AR85" s="4" t="str">
        <f>IF($A85="","",COUNTIFS(RawData[Date],$A85,RawData[Slot],41))</f>
        <v/>
      </c>
      <c r="AS85" s="4" t="str">
        <f>IF($A85="","",COUNTIFS(RawData[Date],$A85,RawData[Slot],42))</f>
        <v/>
      </c>
      <c r="AT85" s="4" t="str">
        <f>IF($A85="","",COUNTIFS(RawData[Date],$A85,RawData[Slot],43))</f>
        <v/>
      </c>
      <c r="AU85" s="4" t="str">
        <f>IF($A85="","",COUNTIFS(RawData[Date],$A85,RawData[Slot],44))</f>
        <v/>
      </c>
      <c r="AV85" s="4" t="str">
        <f>IF($A85="","",COUNTIFS(RawData[Date],$A85,RawData[Slot],45))</f>
        <v/>
      </c>
      <c r="AW85" s="4" t="str">
        <f>IF($A85="","",COUNTIFS(RawData[Date],$A85,RawData[Slot],46))</f>
        <v/>
      </c>
      <c r="AX85" s="4" t="str">
        <f>IF($A85="","",COUNTIFS(RawData[Date],$A85,RawData[Slot],47))</f>
        <v/>
      </c>
      <c r="AY85" s="4" t="str">
        <f t="shared" si="5"/>
        <v/>
      </c>
    </row>
    <row r="86" spans="1:51" x14ac:dyDescent="0.25">
      <c r="A86" s="7"/>
      <c r="B86" s="4" t="str">
        <f t="shared" si="4"/>
        <v/>
      </c>
      <c r="C86" s="4" t="str">
        <f>IF($A86="","",COUNTIFS(RawData[Date],$A86,RawData[Slot],0))</f>
        <v/>
      </c>
      <c r="D86" s="4" t="str">
        <f>IF($A86="","",COUNTIFS(RawData[Date],$A86,RawData[Slot],1))</f>
        <v/>
      </c>
      <c r="E86" s="4" t="str">
        <f>IF($A86="","",COUNTIFS(RawData[Date],$A86,RawData[Slot],2))</f>
        <v/>
      </c>
      <c r="F86" s="4" t="str">
        <f>IF($A86="","",COUNTIFS(RawData[Date],$A86,RawData[Slot],3))</f>
        <v/>
      </c>
      <c r="G86" s="4" t="str">
        <f>IF($A86="","",COUNTIFS(RawData[Date],$A86,RawData[Slot],4))</f>
        <v/>
      </c>
      <c r="H86" s="4" t="str">
        <f>IF($A86="","",COUNTIFS(RawData[Date],$A86,RawData[Slot],5))</f>
        <v/>
      </c>
      <c r="I86" s="4" t="str">
        <f>IF($A86="","",COUNTIFS(RawData[Date],$A86,RawData[Slot],6))</f>
        <v/>
      </c>
      <c r="J86" s="4" t="str">
        <f>IF($A86="","",COUNTIFS(RawData[Date],$A86,RawData[Slot],7))</f>
        <v/>
      </c>
      <c r="K86" s="4" t="str">
        <f>IF($A86="","",COUNTIFS(RawData[Date],$A86,RawData[Slot],8))</f>
        <v/>
      </c>
      <c r="L86" s="4" t="str">
        <f>IF($A86="","",COUNTIFS(RawData[Date],$A86,RawData[Slot],9))</f>
        <v/>
      </c>
      <c r="M86" s="4" t="str">
        <f>IF($A86="","",COUNTIFS(RawData[Date],$A86,RawData[Slot],10))</f>
        <v/>
      </c>
      <c r="N86" s="4" t="str">
        <f>IF($A86="","",COUNTIFS(RawData[Date],$A86,RawData[Slot],11))</f>
        <v/>
      </c>
      <c r="O86" s="4" t="str">
        <f>IF($A86="","",COUNTIFS(RawData[Date],$A86,RawData[Slot],12))</f>
        <v/>
      </c>
      <c r="P86" s="4" t="str">
        <f>IF($A86="","",COUNTIFS(RawData[Date],$A86,RawData[Slot],13))</f>
        <v/>
      </c>
      <c r="Q86" s="4" t="str">
        <f>IF($A86="","",COUNTIFS(RawData[Date],$A86,RawData[Slot],14))</f>
        <v/>
      </c>
      <c r="R86" s="4" t="str">
        <f>IF($A86="","",COUNTIFS(RawData[Date],$A86,RawData[Slot],15))</f>
        <v/>
      </c>
      <c r="S86" s="4" t="str">
        <f>IF($A86="","",COUNTIFS(RawData[Date],$A86,RawData[Slot],16))</f>
        <v/>
      </c>
      <c r="T86" s="4" t="str">
        <f>IF($A86="","",COUNTIFS(RawData[Date],$A86,RawData[Slot],17))</f>
        <v/>
      </c>
      <c r="U86" s="4" t="str">
        <f>IF($A86="","",COUNTIFS(RawData[Date],$A86,RawData[Slot],18))</f>
        <v/>
      </c>
      <c r="V86" s="4" t="str">
        <f>IF($A86="","",COUNTIFS(RawData[Date],$A86,RawData[Slot],19))</f>
        <v/>
      </c>
      <c r="W86" s="4" t="str">
        <f>IF($A86="","",COUNTIFS(RawData[Date],$A86,RawData[Slot],20))</f>
        <v/>
      </c>
      <c r="X86" s="4" t="str">
        <f>IF($A86="","",COUNTIFS(RawData[Date],$A86,RawData[Slot],21))</f>
        <v/>
      </c>
      <c r="Y86" s="4" t="str">
        <f>IF($A86="","",COUNTIFS(RawData[Date],$A86,RawData[Slot],22))</f>
        <v/>
      </c>
      <c r="Z86" s="4" t="str">
        <f>IF($A86="","",COUNTIFS(RawData[Date],$A86,RawData[Slot],23))</f>
        <v/>
      </c>
      <c r="AA86" s="4" t="str">
        <f>IF($A86="","",COUNTIFS(RawData[Date],$A86,RawData[Slot],24))</f>
        <v/>
      </c>
      <c r="AB86" s="4" t="str">
        <f>IF($A86="","",COUNTIFS(RawData[Date],$A86,RawData[Slot],25))</f>
        <v/>
      </c>
      <c r="AC86" s="4" t="str">
        <f>IF($A86="","",COUNTIFS(RawData[Date],$A86,RawData[Slot],26))</f>
        <v/>
      </c>
      <c r="AD86" s="4" t="str">
        <f>IF($A86="","",COUNTIFS(RawData[Date],$A86,RawData[Slot],27))</f>
        <v/>
      </c>
      <c r="AE86" s="4" t="str">
        <f>IF($A86="","",COUNTIFS(RawData[Date],$A86,RawData[Slot],28))</f>
        <v/>
      </c>
      <c r="AF86" s="4" t="str">
        <f>IF($A86="","",COUNTIFS(RawData[Date],$A86,RawData[Slot],29))</f>
        <v/>
      </c>
      <c r="AG86" s="4" t="str">
        <f>IF($A86="","",COUNTIFS(RawData[Date],$A86,RawData[Slot],30))</f>
        <v/>
      </c>
      <c r="AH86" s="4" t="str">
        <f>IF($A86="","",COUNTIFS(RawData[Date],$A86,RawData[Slot],31))</f>
        <v/>
      </c>
      <c r="AI86" s="4" t="str">
        <f>IF($A86="","",COUNTIFS(RawData[Date],$A86,RawData[Slot],32))</f>
        <v/>
      </c>
      <c r="AJ86" s="4" t="str">
        <f>IF($A86="","",COUNTIFS(RawData[Date],$A86,RawData[Slot],33))</f>
        <v/>
      </c>
      <c r="AK86" s="4" t="str">
        <f>IF($A86="","",COUNTIFS(RawData[Date],$A86,RawData[Slot],34))</f>
        <v/>
      </c>
      <c r="AL86" s="4" t="str">
        <f>IF($A86="","",COUNTIFS(RawData[Date],$A86,RawData[Slot],35))</f>
        <v/>
      </c>
      <c r="AM86" s="4" t="str">
        <f>IF($A86="","",COUNTIFS(RawData[Date],$A86,RawData[Slot],36))</f>
        <v/>
      </c>
      <c r="AN86" s="4" t="str">
        <f>IF($A86="","",COUNTIFS(RawData[Date],$A86,RawData[Slot],37))</f>
        <v/>
      </c>
      <c r="AO86" s="4" t="str">
        <f>IF($A86="","",COUNTIFS(RawData[Date],$A86,RawData[Slot],38))</f>
        <v/>
      </c>
      <c r="AP86" s="4" t="str">
        <f>IF($A86="","",COUNTIFS(RawData[Date],$A86,RawData[Slot],39))</f>
        <v/>
      </c>
      <c r="AQ86" s="4" t="str">
        <f>IF($A86="","",COUNTIFS(RawData[Date],$A86,RawData[Slot],40))</f>
        <v/>
      </c>
      <c r="AR86" s="4" t="str">
        <f>IF($A86="","",COUNTIFS(RawData[Date],$A86,RawData[Slot],41))</f>
        <v/>
      </c>
      <c r="AS86" s="4" t="str">
        <f>IF($A86="","",COUNTIFS(RawData[Date],$A86,RawData[Slot],42))</f>
        <v/>
      </c>
      <c r="AT86" s="4" t="str">
        <f>IF($A86="","",COUNTIFS(RawData[Date],$A86,RawData[Slot],43))</f>
        <v/>
      </c>
      <c r="AU86" s="4" t="str">
        <f>IF($A86="","",COUNTIFS(RawData[Date],$A86,RawData[Slot],44))</f>
        <v/>
      </c>
      <c r="AV86" s="4" t="str">
        <f>IF($A86="","",COUNTIFS(RawData[Date],$A86,RawData[Slot],45))</f>
        <v/>
      </c>
      <c r="AW86" s="4" t="str">
        <f>IF($A86="","",COUNTIFS(RawData[Date],$A86,RawData[Slot],46))</f>
        <v/>
      </c>
      <c r="AX86" s="4" t="str">
        <f>IF($A86="","",COUNTIFS(RawData[Date],$A86,RawData[Slot],47))</f>
        <v/>
      </c>
      <c r="AY86" s="4" t="str">
        <f t="shared" si="5"/>
        <v/>
      </c>
    </row>
    <row r="87" spans="1:51" x14ac:dyDescent="0.25">
      <c r="A87" s="7"/>
      <c r="B87" s="4" t="str">
        <f t="shared" si="4"/>
        <v/>
      </c>
      <c r="C87" s="4" t="str">
        <f>IF($A87="","",COUNTIFS(RawData[Date],$A87,RawData[Slot],0))</f>
        <v/>
      </c>
      <c r="D87" s="4" t="str">
        <f>IF($A87="","",COUNTIFS(RawData[Date],$A87,RawData[Slot],1))</f>
        <v/>
      </c>
      <c r="E87" s="4" t="str">
        <f>IF($A87="","",COUNTIFS(RawData[Date],$A87,RawData[Slot],2))</f>
        <v/>
      </c>
      <c r="F87" s="4" t="str">
        <f>IF($A87="","",COUNTIFS(RawData[Date],$A87,RawData[Slot],3))</f>
        <v/>
      </c>
      <c r="G87" s="4" t="str">
        <f>IF($A87="","",COUNTIFS(RawData[Date],$A87,RawData[Slot],4))</f>
        <v/>
      </c>
      <c r="H87" s="4" t="str">
        <f>IF($A87="","",COUNTIFS(RawData[Date],$A87,RawData[Slot],5))</f>
        <v/>
      </c>
      <c r="I87" s="4" t="str">
        <f>IF($A87="","",COUNTIFS(RawData[Date],$A87,RawData[Slot],6))</f>
        <v/>
      </c>
      <c r="J87" s="4" t="str">
        <f>IF($A87="","",COUNTIFS(RawData[Date],$A87,RawData[Slot],7))</f>
        <v/>
      </c>
      <c r="K87" s="4" t="str">
        <f>IF($A87="","",COUNTIFS(RawData[Date],$A87,RawData[Slot],8))</f>
        <v/>
      </c>
      <c r="L87" s="4" t="str">
        <f>IF($A87="","",COUNTIFS(RawData[Date],$A87,RawData[Slot],9))</f>
        <v/>
      </c>
      <c r="M87" s="4" t="str">
        <f>IF($A87="","",COUNTIFS(RawData[Date],$A87,RawData[Slot],10))</f>
        <v/>
      </c>
      <c r="N87" s="4" t="str">
        <f>IF($A87="","",COUNTIFS(RawData[Date],$A87,RawData[Slot],11))</f>
        <v/>
      </c>
      <c r="O87" s="4" t="str">
        <f>IF($A87="","",COUNTIFS(RawData[Date],$A87,RawData[Slot],12))</f>
        <v/>
      </c>
      <c r="P87" s="4" t="str">
        <f>IF($A87="","",COUNTIFS(RawData[Date],$A87,RawData[Slot],13))</f>
        <v/>
      </c>
      <c r="Q87" s="4" t="str">
        <f>IF($A87="","",COUNTIFS(RawData[Date],$A87,RawData[Slot],14))</f>
        <v/>
      </c>
      <c r="R87" s="4" t="str">
        <f>IF($A87="","",COUNTIFS(RawData[Date],$A87,RawData[Slot],15))</f>
        <v/>
      </c>
      <c r="S87" s="4" t="str">
        <f>IF($A87="","",COUNTIFS(RawData[Date],$A87,RawData[Slot],16))</f>
        <v/>
      </c>
      <c r="T87" s="4" t="str">
        <f>IF($A87="","",COUNTIFS(RawData[Date],$A87,RawData[Slot],17))</f>
        <v/>
      </c>
      <c r="U87" s="4" t="str">
        <f>IF($A87="","",COUNTIFS(RawData[Date],$A87,RawData[Slot],18))</f>
        <v/>
      </c>
      <c r="V87" s="4" t="str">
        <f>IF($A87="","",COUNTIFS(RawData[Date],$A87,RawData[Slot],19))</f>
        <v/>
      </c>
      <c r="W87" s="4" t="str">
        <f>IF($A87="","",COUNTIFS(RawData[Date],$A87,RawData[Slot],20))</f>
        <v/>
      </c>
      <c r="X87" s="4" t="str">
        <f>IF($A87="","",COUNTIFS(RawData[Date],$A87,RawData[Slot],21))</f>
        <v/>
      </c>
      <c r="Y87" s="4" t="str">
        <f>IF($A87="","",COUNTIFS(RawData[Date],$A87,RawData[Slot],22))</f>
        <v/>
      </c>
      <c r="Z87" s="4" t="str">
        <f>IF($A87="","",COUNTIFS(RawData[Date],$A87,RawData[Slot],23))</f>
        <v/>
      </c>
      <c r="AA87" s="4" t="str">
        <f>IF($A87="","",COUNTIFS(RawData[Date],$A87,RawData[Slot],24))</f>
        <v/>
      </c>
      <c r="AB87" s="4" t="str">
        <f>IF($A87="","",COUNTIFS(RawData[Date],$A87,RawData[Slot],25))</f>
        <v/>
      </c>
      <c r="AC87" s="4" t="str">
        <f>IF($A87="","",COUNTIFS(RawData[Date],$A87,RawData[Slot],26))</f>
        <v/>
      </c>
      <c r="AD87" s="4" t="str">
        <f>IF($A87="","",COUNTIFS(RawData[Date],$A87,RawData[Slot],27))</f>
        <v/>
      </c>
      <c r="AE87" s="4" t="str">
        <f>IF($A87="","",COUNTIFS(RawData[Date],$A87,RawData[Slot],28))</f>
        <v/>
      </c>
      <c r="AF87" s="4" t="str">
        <f>IF($A87="","",COUNTIFS(RawData[Date],$A87,RawData[Slot],29))</f>
        <v/>
      </c>
      <c r="AG87" s="4" t="str">
        <f>IF($A87="","",COUNTIFS(RawData[Date],$A87,RawData[Slot],30))</f>
        <v/>
      </c>
      <c r="AH87" s="4" t="str">
        <f>IF($A87="","",COUNTIFS(RawData[Date],$A87,RawData[Slot],31))</f>
        <v/>
      </c>
      <c r="AI87" s="4" t="str">
        <f>IF($A87="","",COUNTIFS(RawData[Date],$A87,RawData[Slot],32))</f>
        <v/>
      </c>
      <c r="AJ87" s="4" t="str">
        <f>IF($A87="","",COUNTIFS(RawData[Date],$A87,RawData[Slot],33))</f>
        <v/>
      </c>
      <c r="AK87" s="4" t="str">
        <f>IF($A87="","",COUNTIFS(RawData[Date],$A87,RawData[Slot],34))</f>
        <v/>
      </c>
      <c r="AL87" s="4" t="str">
        <f>IF($A87="","",COUNTIFS(RawData[Date],$A87,RawData[Slot],35))</f>
        <v/>
      </c>
      <c r="AM87" s="4" t="str">
        <f>IF($A87="","",COUNTIFS(RawData[Date],$A87,RawData[Slot],36))</f>
        <v/>
      </c>
      <c r="AN87" s="4" t="str">
        <f>IF($A87="","",COUNTIFS(RawData[Date],$A87,RawData[Slot],37))</f>
        <v/>
      </c>
      <c r="AO87" s="4" t="str">
        <f>IF($A87="","",COUNTIFS(RawData[Date],$A87,RawData[Slot],38))</f>
        <v/>
      </c>
      <c r="AP87" s="4" t="str">
        <f>IF($A87="","",COUNTIFS(RawData[Date],$A87,RawData[Slot],39))</f>
        <v/>
      </c>
      <c r="AQ87" s="4" t="str">
        <f>IF($A87="","",COUNTIFS(RawData[Date],$A87,RawData[Slot],40))</f>
        <v/>
      </c>
      <c r="AR87" s="4" t="str">
        <f>IF($A87="","",COUNTIFS(RawData[Date],$A87,RawData[Slot],41))</f>
        <v/>
      </c>
      <c r="AS87" s="4" t="str">
        <f>IF($A87="","",COUNTIFS(RawData[Date],$A87,RawData[Slot],42))</f>
        <v/>
      </c>
      <c r="AT87" s="4" t="str">
        <f>IF($A87="","",COUNTIFS(RawData[Date],$A87,RawData[Slot],43))</f>
        <v/>
      </c>
      <c r="AU87" s="4" t="str">
        <f>IF($A87="","",COUNTIFS(RawData[Date],$A87,RawData[Slot],44))</f>
        <v/>
      </c>
      <c r="AV87" s="4" t="str">
        <f>IF($A87="","",COUNTIFS(RawData[Date],$A87,RawData[Slot],45))</f>
        <v/>
      </c>
      <c r="AW87" s="4" t="str">
        <f>IF($A87="","",COUNTIFS(RawData[Date],$A87,RawData[Slot],46))</f>
        <v/>
      </c>
      <c r="AX87" s="4" t="str">
        <f>IF($A87="","",COUNTIFS(RawData[Date],$A87,RawData[Slot],47))</f>
        <v/>
      </c>
      <c r="AY87" s="4" t="str">
        <f t="shared" si="5"/>
        <v/>
      </c>
    </row>
    <row r="88" spans="1:51" x14ac:dyDescent="0.25">
      <c r="A88" s="7"/>
      <c r="B88" s="4" t="str">
        <f t="shared" si="4"/>
        <v/>
      </c>
      <c r="C88" s="4" t="str">
        <f>IF($A88="","",COUNTIFS(RawData[Date],$A88,RawData[Slot],0))</f>
        <v/>
      </c>
      <c r="D88" s="4" t="str">
        <f>IF($A88="","",COUNTIFS(RawData[Date],$A88,RawData[Slot],1))</f>
        <v/>
      </c>
      <c r="E88" s="4" t="str">
        <f>IF($A88="","",COUNTIFS(RawData[Date],$A88,RawData[Slot],2))</f>
        <v/>
      </c>
      <c r="F88" s="4" t="str">
        <f>IF($A88="","",COUNTIFS(RawData[Date],$A88,RawData[Slot],3))</f>
        <v/>
      </c>
      <c r="G88" s="4" t="str">
        <f>IF($A88="","",COUNTIFS(RawData[Date],$A88,RawData[Slot],4))</f>
        <v/>
      </c>
      <c r="H88" s="4" t="str">
        <f>IF($A88="","",COUNTIFS(RawData[Date],$A88,RawData[Slot],5))</f>
        <v/>
      </c>
      <c r="I88" s="4" t="str">
        <f>IF($A88="","",COUNTIFS(RawData[Date],$A88,RawData[Slot],6))</f>
        <v/>
      </c>
      <c r="J88" s="4" t="str">
        <f>IF($A88="","",COUNTIFS(RawData[Date],$A88,RawData[Slot],7))</f>
        <v/>
      </c>
      <c r="K88" s="4" t="str">
        <f>IF($A88="","",COUNTIFS(RawData[Date],$A88,RawData[Slot],8))</f>
        <v/>
      </c>
      <c r="L88" s="4" t="str">
        <f>IF($A88="","",COUNTIFS(RawData[Date],$A88,RawData[Slot],9))</f>
        <v/>
      </c>
      <c r="M88" s="4" t="str">
        <f>IF($A88="","",COUNTIFS(RawData[Date],$A88,RawData[Slot],10))</f>
        <v/>
      </c>
      <c r="N88" s="4" t="str">
        <f>IF($A88="","",COUNTIFS(RawData[Date],$A88,RawData[Slot],11))</f>
        <v/>
      </c>
      <c r="O88" s="4" t="str">
        <f>IF($A88="","",COUNTIFS(RawData[Date],$A88,RawData[Slot],12))</f>
        <v/>
      </c>
      <c r="P88" s="4" t="str">
        <f>IF($A88="","",COUNTIFS(RawData[Date],$A88,RawData[Slot],13))</f>
        <v/>
      </c>
      <c r="Q88" s="4" t="str">
        <f>IF($A88="","",COUNTIFS(RawData[Date],$A88,RawData[Slot],14))</f>
        <v/>
      </c>
      <c r="R88" s="4" t="str">
        <f>IF($A88="","",COUNTIFS(RawData[Date],$A88,RawData[Slot],15))</f>
        <v/>
      </c>
      <c r="S88" s="4" t="str">
        <f>IF($A88="","",COUNTIFS(RawData[Date],$A88,RawData[Slot],16))</f>
        <v/>
      </c>
      <c r="T88" s="4" t="str">
        <f>IF($A88="","",COUNTIFS(RawData[Date],$A88,RawData[Slot],17))</f>
        <v/>
      </c>
      <c r="U88" s="4" t="str">
        <f>IF($A88="","",COUNTIFS(RawData[Date],$A88,RawData[Slot],18))</f>
        <v/>
      </c>
      <c r="V88" s="4" t="str">
        <f>IF($A88="","",COUNTIFS(RawData[Date],$A88,RawData[Slot],19))</f>
        <v/>
      </c>
      <c r="W88" s="4" t="str">
        <f>IF($A88="","",COUNTIFS(RawData[Date],$A88,RawData[Slot],20))</f>
        <v/>
      </c>
      <c r="X88" s="4" t="str">
        <f>IF($A88="","",COUNTIFS(RawData[Date],$A88,RawData[Slot],21))</f>
        <v/>
      </c>
      <c r="Y88" s="4" t="str">
        <f>IF($A88="","",COUNTIFS(RawData[Date],$A88,RawData[Slot],22))</f>
        <v/>
      </c>
      <c r="Z88" s="4" t="str">
        <f>IF($A88="","",COUNTIFS(RawData[Date],$A88,RawData[Slot],23))</f>
        <v/>
      </c>
      <c r="AA88" s="4" t="str">
        <f>IF($A88="","",COUNTIFS(RawData[Date],$A88,RawData[Slot],24))</f>
        <v/>
      </c>
      <c r="AB88" s="4" t="str">
        <f>IF($A88="","",COUNTIFS(RawData[Date],$A88,RawData[Slot],25))</f>
        <v/>
      </c>
      <c r="AC88" s="4" t="str">
        <f>IF($A88="","",COUNTIFS(RawData[Date],$A88,RawData[Slot],26))</f>
        <v/>
      </c>
      <c r="AD88" s="4" t="str">
        <f>IF($A88="","",COUNTIFS(RawData[Date],$A88,RawData[Slot],27))</f>
        <v/>
      </c>
      <c r="AE88" s="4" t="str">
        <f>IF($A88="","",COUNTIFS(RawData[Date],$A88,RawData[Slot],28))</f>
        <v/>
      </c>
      <c r="AF88" s="4" t="str">
        <f>IF($A88="","",COUNTIFS(RawData[Date],$A88,RawData[Slot],29))</f>
        <v/>
      </c>
      <c r="AG88" s="4" t="str">
        <f>IF($A88="","",COUNTIFS(RawData[Date],$A88,RawData[Slot],30))</f>
        <v/>
      </c>
      <c r="AH88" s="4" t="str">
        <f>IF($A88="","",COUNTIFS(RawData[Date],$A88,RawData[Slot],31))</f>
        <v/>
      </c>
      <c r="AI88" s="4" t="str">
        <f>IF($A88="","",COUNTIFS(RawData[Date],$A88,RawData[Slot],32))</f>
        <v/>
      </c>
      <c r="AJ88" s="4" t="str">
        <f>IF($A88="","",COUNTIFS(RawData[Date],$A88,RawData[Slot],33))</f>
        <v/>
      </c>
      <c r="AK88" s="4" t="str">
        <f>IF($A88="","",COUNTIFS(RawData[Date],$A88,RawData[Slot],34))</f>
        <v/>
      </c>
      <c r="AL88" s="4" t="str">
        <f>IF($A88="","",COUNTIFS(RawData[Date],$A88,RawData[Slot],35))</f>
        <v/>
      </c>
      <c r="AM88" s="4" t="str">
        <f>IF($A88="","",COUNTIFS(RawData[Date],$A88,RawData[Slot],36))</f>
        <v/>
      </c>
      <c r="AN88" s="4" t="str">
        <f>IF($A88="","",COUNTIFS(RawData[Date],$A88,RawData[Slot],37))</f>
        <v/>
      </c>
      <c r="AO88" s="4" t="str">
        <f>IF($A88="","",COUNTIFS(RawData[Date],$A88,RawData[Slot],38))</f>
        <v/>
      </c>
      <c r="AP88" s="4" t="str">
        <f>IF($A88="","",COUNTIFS(RawData[Date],$A88,RawData[Slot],39))</f>
        <v/>
      </c>
      <c r="AQ88" s="4" t="str">
        <f>IF($A88="","",COUNTIFS(RawData[Date],$A88,RawData[Slot],40))</f>
        <v/>
      </c>
      <c r="AR88" s="4" t="str">
        <f>IF($A88="","",COUNTIFS(RawData[Date],$A88,RawData[Slot],41))</f>
        <v/>
      </c>
      <c r="AS88" s="4" t="str">
        <f>IF($A88="","",COUNTIFS(RawData[Date],$A88,RawData[Slot],42))</f>
        <v/>
      </c>
      <c r="AT88" s="4" t="str">
        <f>IF($A88="","",COUNTIFS(RawData[Date],$A88,RawData[Slot],43))</f>
        <v/>
      </c>
      <c r="AU88" s="4" t="str">
        <f>IF($A88="","",COUNTIFS(RawData[Date],$A88,RawData[Slot],44))</f>
        <v/>
      </c>
      <c r="AV88" s="4" t="str">
        <f>IF($A88="","",COUNTIFS(RawData[Date],$A88,RawData[Slot],45))</f>
        <v/>
      </c>
      <c r="AW88" s="4" t="str">
        <f>IF($A88="","",COUNTIFS(RawData[Date],$A88,RawData[Slot],46))</f>
        <v/>
      </c>
      <c r="AX88" s="4" t="str">
        <f>IF($A88="","",COUNTIFS(RawData[Date],$A88,RawData[Slot],47))</f>
        <v/>
      </c>
      <c r="AY88" s="4" t="str">
        <f t="shared" si="5"/>
        <v/>
      </c>
    </row>
    <row r="89" spans="1:51" x14ac:dyDescent="0.25">
      <c r="A89" s="7"/>
      <c r="B89" s="4" t="str">
        <f t="shared" si="4"/>
        <v/>
      </c>
      <c r="C89" s="4" t="str">
        <f>IF($A89="","",COUNTIFS(RawData[Date],$A89,RawData[Slot],0))</f>
        <v/>
      </c>
      <c r="D89" s="4" t="str">
        <f>IF($A89="","",COUNTIFS(RawData[Date],$A89,RawData[Slot],1))</f>
        <v/>
      </c>
      <c r="E89" s="4" t="str">
        <f>IF($A89="","",COUNTIFS(RawData[Date],$A89,RawData[Slot],2))</f>
        <v/>
      </c>
      <c r="F89" s="4" t="str">
        <f>IF($A89="","",COUNTIFS(RawData[Date],$A89,RawData[Slot],3))</f>
        <v/>
      </c>
      <c r="G89" s="4" t="str">
        <f>IF($A89="","",COUNTIFS(RawData[Date],$A89,RawData[Slot],4))</f>
        <v/>
      </c>
      <c r="H89" s="4" t="str">
        <f>IF($A89="","",COUNTIFS(RawData[Date],$A89,RawData[Slot],5))</f>
        <v/>
      </c>
      <c r="I89" s="4" t="str">
        <f>IF($A89="","",COUNTIFS(RawData[Date],$A89,RawData[Slot],6))</f>
        <v/>
      </c>
      <c r="J89" s="4" t="str">
        <f>IF($A89="","",COUNTIFS(RawData[Date],$A89,RawData[Slot],7))</f>
        <v/>
      </c>
      <c r="K89" s="4" t="str">
        <f>IF($A89="","",COUNTIFS(RawData[Date],$A89,RawData[Slot],8))</f>
        <v/>
      </c>
      <c r="L89" s="4" t="str">
        <f>IF($A89="","",COUNTIFS(RawData[Date],$A89,RawData[Slot],9))</f>
        <v/>
      </c>
      <c r="M89" s="4" t="str">
        <f>IF($A89="","",COUNTIFS(RawData[Date],$A89,RawData[Slot],10))</f>
        <v/>
      </c>
      <c r="N89" s="4" t="str">
        <f>IF($A89="","",COUNTIFS(RawData[Date],$A89,RawData[Slot],11))</f>
        <v/>
      </c>
      <c r="O89" s="4" t="str">
        <f>IF($A89="","",COUNTIFS(RawData[Date],$A89,RawData[Slot],12))</f>
        <v/>
      </c>
      <c r="P89" s="4" t="str">
        <f>IF($A89="","",COUNTIFS(RawData[Date],$A89,RawData[Slot],13))</f>
        <v/>
      </c>
      <c r="Q89" s="4" t="str">
        <f>IF($A89="","",COUNTIFS(RawData[Date],$A89,RawData[Slot],14))</f>
        <v/>
      </c>
      <c r="R89" s="4" t="str">
        <f>IF($A89="","",COUNTIFS(RawData[Date],$A89,RawData[Slot],15))</f>
        <v/>
      </c>
      <c r="S89" s="4" t="str">
        <f>IF($A89="","",COUNTIFS(RawData[Date],$A89,RawData[Slot],16))</f>
        <v/>
      </c>
      <c r="T89" s="4" t="str">
        <f>IF($A89="","",COUNTIFS(RawData[Date],$A89,RawData[Slot],17))</f>
        <v/>
      </c>
      <c r="U89" s="4" t="str">
        <f>IF($A89="","",COUNTIFS(RawData[Date],$A89,RawData[Slot],18))</f>
        <v/>
      </c>
      <c r="V89" s="4" t="str">
        <f>IF($A89="","",COUNTIFS(RawData[Date],$A89,RawData[Slot],19))</f>
        <v/>
      </c>
      <c r="W89" s="4" t="str">
        <f>IF($A89="","",COUNTIFS(RawData[Date],$A89,RawData[Slot],20))</f>
        <v/>
      </c>
      <c r="X89" s="4" t="str">
        <f>IF($A89="","",COUNTIFS(RawData[Date],$A89,RawData[Slot],21))</f>
        <v/>
      </c>
      <c r="Y89" s="4" t="str">
        <f>IF($A89="","",COUNTIFS(RawData[Date],$A89,RawData[Slot],22))</f>
        <v/>
      </c>
      <c r="Z89" s="4" t="str">
        <f>IF($A89="","",COUNTIFS(RawData[Date],$A89,RawData[Slot],23))</f>
        <v/>
      </c>
      <c r="AA89" s="4" t="str">
        <f>IF($A89="","",COUNTIFS(RawData[Date],$A89,RawData[Slot],24))</f>
        <v/>
      </c>
      <c r="AB89" s="4" t="str">
        <f>IF($A89="","",COUNTIFS(RawData[Date],$A89,RawData[Slot],25))</f>
        <v/>
      </c>
      <c r="AC89" s="4" t="str">
        <f>IF($A89="","",COUNTIFS(RawData[Date],$A89,RawData[Slot],26))</f>
        <v/>
      </c>
      <c r="AD89" s="4" t="str">
        <f>IF($A89="","",COUNTIFS(RawData[Date],$A89,RawData[Slot],27))</f>
        <v/>
      </c>
      <c r="AE89" s="4" t="str">
        <f>IF($A89="","",COUNTIFS(RawData[Date],$A89,RawData[Slot],28))</f>
        <v/>
      </c>
      <c r="AF89" s="4" t="str">
        <f>IF($A89="","",COUNTIFS(RawData[Date],$A89,RawData[Slot],29))</f>
        <v/>
      </c>
      <c r="AG89" s="4" t="str">
        <f>IF($A89="","",COUNTIFS(RawData[Date],$A89,RawData[Slot],30))</f>
        <v/>
      </c>
      <c r="AH89" s="4" t="str">
        <f>IF($A89="","",COUNTIFS(RawData[Date],$A89,RawData[Slot],31))</f>
        <v/>
      </c>
      <c r="AI89" s="4" t="str">
        <f>IF($A89="","",COUNTIFS(RawData[Date],$A89,RawData[Slot],32))</f>
        <v/>
      </c>
      <c r="AJ89" s="4" t="str">
        <f>IF($A89="","",COUNTIFS(RawData[Date],$A89,RawData[Slot],33))</f>
        <v/>
      </c>
      <c r="AK89" s="4" t="str">
        <f>IF($A89="","",COUNTIFS(RawData[Date],$A89,RawData[Slot],34))</f>
        <v/>
      </c>
      <c r="AL89" s="4" t="str">
        <f>IF($A89="","",COUNTIFS(RawData[Date],$A89,RawData[Slot],35))</f>
        <v/>
      </c>
      <c r="AM89" s="4" t="str">
        <f>IF($A89="","",COUNTIFS(RawData[Date],$A89,RawData[Slot],36))</f>
        <v/>
      </c>
      <c r="AN89" s="4" t="str">
        <f>IF($A89="","",COUNTIFS(RawData[Date],$A89,RawData[Slot],37))</f>
        <v/>
      </c>
      <c r="AO89" s="4" t="str">
        <f>IF($A89="","",COUNTIFS(RawData[Date],$A89,RawData[Slot],38))</f>
        <v/>
      </c>
      <c r="AP89" s="4" t="str">
        <f>IF($A89="","",COUNTIFS(RawData[Date],$A89,RawData[Slot],39))</f>
        <v/>
      </c>
      <c r="AQ89" s="4" t="str">
        <f>IF($A89="","",COUNTIFS(RawData[Date],$A89,RawData[Slot],40))</f>
        <v/>
      </c>
      <c r="AR89" s="4" t="str">
        <f>IF($A89="","",COUNTIFS(RawData[Date],$A89,RawData[Slot],41))</f>
        <v/>
      </c>
      <c r="AS89" s="4" t="str">
        <f>IF($A89="","",COUNTIFS(RawData[Date],$A89,RawData[Slot],42))</f>
        <v/>
      </c>
      <c r="AT89" s="4" t="str">
        <f>IF($A89="","",COUNTIFS(RawData[Date],$A89,RawData[Slot],43))</f>
        <v/>
      </c>
      <c r="AU89" s="4" t="str">
        <f>IF($A89="","",COUNTIFS(RawData[Date],$A89,RawData[Slot],44))</f>
        <v/>
      </c>
      <c r="AV89" s="4" t="str">
        <f>IF($A89="","",COUNTIFS(RawData[Date],$A89,RawData[Slot],45))</f>
        <v/>
      </c>
      <c r="AW89" s="4" t="str">
        <f>IF($A89="","",COUNTIFS(RawData[Date],$A89,RawData[Slot],46))</f>
        <v/>
      </c>
      <c r="AX89" s="4" t="str">
        <f>IF($A89="","",COUNTIFS(RawData[Date],$A89,RawData[Slot],47))</f>
        <v/>
      </c>
      <c r="AY89" s="4" t="str">
        <f t="shared" si="5"/>
        <v/>
      </c>
    </row>
    <row r="90" spans="1:51" x14ac:dyDescent="0.25">
      <c r="A90" s="7"/>
      <c r="B90" s="4" t="str">
        <f t="shared" si="4"/>
        <v/>
      </c>
      <c r="C90" s="4" t="str">
        <f>IF($A90="","",COUNTIFS(RawData[Date],$A90,RawData[Slot],0))</f>
        <v/>
      </c>
      <c r="D90" s="4" t="str">
        <f>IF($A90="","",COUNTIFS(RawData[Date],$A90,RawData[Slot],1))</f>
        <v/>
      </c>
      <c r="E90" s="4" t="str">
        <f>IF($A90="","",COUNTIFS(RawData[Date],$A90,RawData[Slot],2))</f>
        <v/>
      </c>
      <c r="F90" s="4" t="str">
        <f>IF($A90="","",COUNTIFS(RawData[Date],$A90,RawData[Slot],3))</f>
        <v/>
      </c>
      <c r="G90" s="4" t="str">
        <f>IF($A90="","",COUNTIFS(RawData[Date],$A90,RawData[Slot],4))</f>
        <v/>
      </c>
      <c r="H90" s="4" t="str">
        <f>IF($A90="","",COUNTIFS(RawData[Date],$A90,RawData[Slot],5))</f>
        <v/>
      </c>
      <c r="I90" s="4" t="str">
        <f>IF($A90="","",COUNTIFS(RawData[Date],$A90,RawData[Slot],6))</f>
        <v/>
      </c>
      <c r="J90" s="4" t="str">
        <f>IF($A90="","",COUNTIFS(RawData[Date],$A90,RawData[Slot],7))</f>
        <v/>
      </c>
      <c r="K90" s="4" t="str">
        <f>IF($A90="","",COUNTIFS(RawData[Date],$A90,RawData[Slot],8))</f>
        <v/>
      </c>
      <c r="L90" s="4" t="str">
        <f>IF($A90="","",COUNTIFS(RawData[Date],$A90,RawData[Slot],9))</f>
        <v/>
      </c>
      <c r="M90" s="4" t="str">
        <f>IF($A90="","",COUNTIFS(RawData[Date],$A90,RawData[Slot],10))</f>
        <v/>
      </c>
      <c r="N90" s="4" t="str">
        <f>IF($A90="","",COUNTIFS(RawData[Date],$A90,RawData[Slot],11))</f>
        <v/>
      </c>
      <c r="O90" s="4" t="str">
        <f>IF($A90="","",COUNTIFS(RawData[Date],$A90,RawData[Slot],12))</f>
        <v/>
      </c>
      <c r="P90" s="4" t="str">
        <f>IF($A90="","",COUNTIFS(RawData[Date],$A90,RawData[Slot],13))</f>
        <v/>
      </c>
      <c r="Q90" s="4" t="str">
        <f>IF($A90="","",COUNTIFS(RawData[Date],$A90,RawData[Slot],14))</f>
        <v/>
      </c>
      <c r="R90" s="4" t="str">
        <f>IF($A90="","",COUNTIFS(RawData[Date],$A90,RawData[Slot],15))</f>
        <v/>
      </c>
      <c r="S90" s="4" t="str">
        <f>IF($A90="","",COUNTIFS(RawData[Date],$A90,RawData[Slot],16))</f>
        <v/>
      </c>
      <c r="T90" s="4" t="str">
        <f>IF($A90="","",COUNTIFS(RawData[Date],$A90,RawData[Slot],17))</f>
        <v/>
      </c>
      <c r="U90" s="4" t="str">
        <f>IF($A90="","",COUNTIFS(RawData[Date],$A90,RawData[Slot],18))</f>
        <v/>
      </c>
      <c r="V90" s="4" t="str">
        <f>IF($A90="","",COUNTIFS(RawData[Date],$A90,RawData[Slot],19))</f>
        <v/>
      </c>
      <c r="W90" s="4" t="str">
        <f>IF($A90="","",COUNTIFS(RawData[Date],$A90,RawData[Slot],20))</f>
        <v/>
      </c>
      <c r="X90" s="4" t="str">
        <f>IF($A90="","",COUNTIFS(RawData[Date],$A90,RawData[Slot],21))</f>
        <v/>
      </c>
      <c r="Y90" s="4" t="str">
        <f>IF($A90="","",COUNTIFS(RawData[Date],$A90,RawData[Slot],22))</f>
        <v/>
      </c>
      <c r="Z90" s="4" t="str">
        <f>IF($A90="","",COUNTIFS(RawData[Date],$A90,RawData[Slot],23))</f>
        <v/>
      </c>
      <c r="AA90" s="4" t="str">
        <f>IF($A90="","",COUNTIFS(RawData[Date],$A90,RawData[Slot],24))</f>
        <v/>
      </c>
      <c r="AB90" s="4" t="str">
        <f>IF($A90="","",COUNTIFS(RawData[Date],$A90,RawData[Slot],25))</f>
        <v/>
      </c>
      <c r="AC90" s="4" t="str">
        <f>IF($A90="","",COUNTIFS(RawData[Date],$A90,RawData[Slot],26))</f>
        <v/>
      </c>
      <c r="AD90" s="4" t="str">
        <f>IF($A90="","",COUNTIFS(RawData[Date],$A90,RawData[Slot],27))</f>
        <v/>
      </c>
      <c r="AE90" s="4" t="str">
        <f>IF($A90="","",COUNTIFS(RawData[Date],$A90,RawData[Slot],28))</f>
        <v/>
      </c>
      <c r="AF90" s="4" t="str">
        <f>IF($A90="","",COUNTIFS(RawData[Date],$A90,RawData[Slot],29))</f>
        <v/>
      </c>
      <c r="AG90" s="4" t="str">
        <f>IF($A90="","",COUNTIFS(RawData[Date],$A90,RawData[Slot],30))</f>
        <v/>
      </c>
      <c r="AH90" s="4" t="str">
        <f>IF($A90="","",COUNTIFS(RawData[Date],$A90,RawData[Slot],31))</f>
        <v/>
      </c>
      <c r="AI90" s="4" t="str">
        <f>IF($A90="","",COUNTIFS(RawData[Date],$A90,RawData[Slot],32))</f>
        <v/>
      </c>
      <c r="AJ90" s="4" t="str">
        <f>IF($A90="","",COUNTIFS(RawData[Date],$A90,RawData[Slot],33))</f>
        <v/>
      </c>
      <c r="AK90" s="4" t="str">
        <f>IF($A90="","",COUNTIFS(RawData[Date],$A90,RawData[Slot],34))</f>
        <v/>
      </c>
      <c r="AL90" s="4" t="str">
        <f>IF($A90="","",COUNTIFS(RawData[Date],$A90,RawData[Slot],35))</f>
        <v/>
      </c>
      <c r="AM90" s="4" t="str">
        <f>IF($A90="","",COUNTIFS(RawData[Date],$A90,RawData[Slot],36))</f>
        <v/>
      </c>
      <c r="AN90" s="4" t="str">
        <f>IF($A90="","",COUNTIFS(RawData[Date],$A90,RawData[Slot],37))</f>
        <v/>
      </c>
      <c r="AO90" s="4" t="str">
        <f>IF($A90="","",COUNTIFS(RawData[Date],$A90,RawData[Slot],38))</f>
        <v/>
      </c>
      <c r="AP90" s="4" t="str">
        <f>IF($A90="","",COUNTIFS(RawData[Date],$A90,RawData[Slot],39))</f>
        <v/>
      </c>
      <c r="AQ90" s="4" t="str">
        <f>IF($A90="","",COUNTIFS(RawData[Date],$A90,RawData[Slot],40))</f>
        <v/>
      </c>
      <c r="AR90" s="4" t="str">
        <f>IF($A90="","",COUNTIFS(RawData[Date],$A90,RawData[Slot],41))</f>
        <v/>
      </c>
      <c r="AS90" s="4" t="str">
        <f>IF($A90="","",COUNTIFS(RawData[Date],$A90,RawData[Slot],42))</f>
        <v/>
      </c>
      <c r="AT90" s="4" t="str">
        <f>IF($A90="","",COUNTIFS(RawData[Date],$A90,RawData[Slot],43))</f>
        <v/>
      </c>
      <c r="AU90" s="4" t="str">
        <f>IF($A90="","",COUNTIFS(RawData[Date],$A90,RawData[Slot],44))</f>
        <v/>
      </c>
      <c r="AV90" s="4" t="str">
        <f>IF($A90="","",COUNTIFS(RawData[Date],$A90,RawData[Slot],45))</f>
        <v/>
      </c>
      <c r="AW90" s="4" t="str">
        <f>IF($A90="","",COUNTIFS(RawData[Date],$A90,RawData[Slot],46))</f>
        <v/>
      </c>
      <c r="AX90" s="4" t="str">
        <f>IF($A90="","",COUNTIFS(RawData[Date],$A90,RawData[Slot],47))</f>
        <v/>
      </c>
      <c r="AY90" s="4" t="str">
        <f t="shared" si="5"/>
        <v/>
      </c>
    </row>
    <row r="91" spans="1:51" x14ac:dyDescent="0.25">
      <c r="A91" s="8" t="s">
        <v>82</v>
      </c>
      <c r="B91" s="9"/>
      <c r="C91" s="8">
        <f t="shared" ref="C91:AH91" si="6">SUM(C5:C90)</f>
        <v>0</v>
      </c>
      <c r="D91" s="8">
        <f t="shared" si="6"/>
        <v>0</v>
      </c>
      <c r="E91" s="8">
        <f t="shared" si="6"/>
        <v>0</v>
      </c>
      <c r="F91" s="8">
        <f t="shared" si="6"/>
        <v>0</v>
      </c>
      <c r="G91" s="8">
        <f t="shared" si="6"/>
        <v>0</v>
      </c>
      <c r="H91" s="8">
        <f t="shared" si="6"/>
        <v>0</v>
      </c>
      <c r="I91" s="8">
        <f t="shared" si="6"/>
        <v>0</v>
      </c>
      <c r="J91" s="8">
        <f t="shared" si="6"/>
        <v>0</v>
      </c>
      <c r="K91" s="8">
        <f t="shared" si="6"/>
        <v>0</v>
      </c>
      <c r="L91" s="8">
        <f t="shared" si="6"/>
        <v>0</v>
      </c>
      <c r="M91" s="8">
        <f t="shared" si="6"/>
        <v>0</v>
      </c>
      <c r="N91" s="8">
        <f t="shared" si="6"/>
        <v>0</v>
      </c>
      <c r="O91" s="8">
        <f t="shared" si="6"/>
        <v>0</v>
      </c>
      <c r="P91" s="8">
        <f t="shared" si="6"/>
        <v>0</v>
      </c>
      <c r="Q91" s="8">
        <f t="shared" si="6"/>
        <v>0</v>
      </c>
      <c r="R91" s="8">
        <f t="shared" si="6"/>
        <v>0</v>
      </c>
      <c r="S91" s="8">
        <f t="shared" si="6"/>
        <v>0</v>
      </c>
      <c r="T91" s="8">
        <f t="shared" si="6"/>
        <v>0</v>
      </c>
      <c r="U91" s="8">
        <f t="shared" si="6"/>
        <v>0</v>
      </c>
      <c r="V91" s="8">
        <f t="shared" si="6"/>
        <v>6</v>
      </c>
      <c r="W91" s="8">
        <f t="shared" si="6"/>
        <v>3</v>
      </c>
      <c r="X91" s="8">
        <f t="shared" si="6"/>
        <v>1</v>
      </c>
      <c r="Y91" s="8">
        <f t="shared" si="6"/>
        <v>2</v>
      </c>
      <c r="Z91" s="8">
        <f t="shared" si="6"/>
        <v>2</v>
      </c>
      <c r="AA91" s="8">
        <f t="shared" si="6"/>
        <v>0</v>
      </c>
      <c r="AB91" s="8">
        <f t="shared" si="6"/>
        <v>3</v>
      </c>
      <c r="AC91" s="8">
        <f t="shared" si="6"/>
        <v>1</v>
      </c>
      <c r="AD91" s="8">
        <f t="shared" si="6"/>
        <v>0</v>
      </c>
      <c r="AE91" s="8">
        <f t="shared" si="6"/>
        <v>0</v>
      </c>
      <c r="AF91" s="8">
        <f t="shared" si="6"/>
        <v>0</v>
      </c>
      <c r="AG91" s="8">
        <f t="shared" si="6"/>
        <v>0</v>
      </c>
      <c r="AH91" s="8">
        <f t="shared" si="6"/>
        <v>5</v>
      </c>
      <c r="AI91" s="8">
        <f t="shared" ref="AI91:BN91" si="7">SUM(AI5:AI90)</f>
        <v>1</v>
      </c>
      <c r="AJ91" s="8">
        <f t="shared" si="7"/>
        <v>2</v>
      </c>
      <c r="AK91" s="8">
        <f t="shared" si="7"/>
        <v>0</v>
      </c>
      <c r="AL91" s="8">
        <f t="shared" si="7"/>
        <v>0</v>
      </c>
      <c r="AM91" s="8">
        <f t="shared" si="7"/>
        <v>0</v>
      </c>
      <c r="AN91" s="8">
        <f t="shared" si="7"/>
        <v>0</v>
      </c>
      <c r="AO91" s="8">
        <f t="shared" si="7"/>
        <v>0</v>
      </c>
      <c r="AP91" s="8">
        <f t="shared" si="7"/>
        <v>0</v>
      </c>
      <c r="AQ91" s="8">
        <f t="shared" si="7"/>
        <v>0</v>
      </c>
      <c r="AR91" s="8">
        <f t="shared" si="7"/>
        <v>0</v>
      </c>
      <c r="AS91" s="8">
        <f t="shared" si="7"/>
        <v>0</v>
      </c>
      <c r="AT91" s="8">
        <f t="shared" si="7"/>
        <v>0</v>
      </c>
      <c r="AU91" s="8">
        <f t="shared" si="7"/>
        <v>0</v>
      </c>
      <c r="AV91" s="8">
        <f t="shared" si="7"/>
        <v>0</v>
      </c>
      <c r="AW91" s="8">
        <f t="shared" si="7"/>
        <v>0</v>
      </c>
      <c r="AX91" s="8">
        <f t="shared" si="7"/>
        <v>0</v>
      </c>
      <c r="AY91" s="8">
        <f t="shared" si="7"/>
        <v>26</v>
      </c>
    </row>
  </sheetData>
  <conditionalFormatting sqref="C5:AX90">
    <cfRule type="colorScale" priority="2">
      <colorScale>
        <cfvo type="num" val="0"/>
        <cfvo type="percentile" val="50"/>
        <cfvo type="max"/>
        <color rgb="FFFFFFFF"/>
        <color rgb="FFA9D08E"/>
        <color rgb="FF548235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zoomScaleNormal="100" workbookViewId="0">
      <pane ySplit="3" topLeftCell="A4" activePane="bottomLeft" state="frozen"/>
      <selection pane="bottomLeft" activeCell="G11" sqref="G11"/>
    </sheetView>
  </sheetViews>
  <sheetFormatPr baseColWidth="10" defaultColWidth="8.7109375" defaultRowHeight="15" x14ac:dyDescent="0.25"/>
  <cols>
    <col min="1" max="1" width="13" customWidth="1"/>
    <col min="2" max="2" width="12" customWidth="1"/>
    <col min="3" max="3" width="10" customWidth="1"/>
    <col min="4" max="5" width="12" customWidth="1"/>
  </cols>
  <sheetData>
    <row r="1" spans="1:5" ht="18" x14ac:dyDescent="0.25">
      <c r="A1" s="1" t="s">
        <v>83</v>
      </c>
      <c r="B1" s="4"/>
      <c r="C1" s="4"/>
      <c r="D1" s="4"/>
      <c r="E1" s="4"/>
    </row>
    <row r="2" spans="1:5" x14ac:dyDescent="0.25">
      <c r="A2" s="5" t="s">
        <v>84</v>
      </c>
      <c r="B2" s="4"/>
      <c r="C2" s="4"/>
      <c r="D2" s="4"/>
      <c r="E2" s="4"/>
    </row>
    <row r="3" spans="1:5" x14ac:dyDescent="0.25">
      <c r="A3" s="6" t="s">
        <v>31</v>
      </c>
      <c r="B3" s="6" t="s">
        <v>32</v>
      </c>
      <c r="C3" s="6" t="s">
        <v>85</v>
      </c>
      <c r="D3" s="6" t="s">
        <v>86</v>
      </c>
      <c r="E3" s="6" t="s">
        <v>87</v>
      </c>
    </row>
    <row r="4" spans="1:5" x14ac:dyDescent="0.25">
      <c r="A4" s="4"/>
      <c r="B4" s="4"/>
      <c r="C4" s="4"/>
      <c r="D4" s="4"/>
      <c r="E4" s="4"/>
    </row>
    <row r="5" spans="1:5" x14ac:dyDescent="0.25">
      <c r="A5" s="7">
        <f>IF('Heatmap Day x Time'!A5="","",'Heatmap Day x Time'!A5)</f>
        <v>46150</v>
      </c>
      <c r="B5" s="4" t="str">
        <f t="shared" ref="B5:B36" si="0">IF(A5="","",CHOOSE(WEEKDAY(A5,2),"Monday","Tuesday","Wednesday","Thursday","Friday","Saturday","Sunday"))</f>
        <v>Friday</v>
      </c>
      <c r="C5" s="4">
        <f>IF(A5="","",COUNTIF(RawData[Date],A5))</f>
        <v>26</v>
      </c>
      <c r="D5" s="10">
        <f>IF(OR(A5="",C5=0),"",SUMPRODUCT(MIN(IF(RawData[[#This Row],[Date]]=A5,RawData[Time]))))</f>
        <v>0.40208333333333302</v>
      </c>
      <c r="E5" s="10">
        <f>IF(OR(A5="",C5=0),"",SUMPRODUCT(MAX(IF(RawData[[#This Row],[Date]]=A5,RawData[Time]))))</f>
        <v>0.70625000000000004</v>
      </c>
    </row>
    <row r="6" spans="1:5" x14ac:dyDescent="0.25">
      <c r="A6" s="7">
        <f>IF('Heatmap Day x Time'!A6="","",'Heatmap Day x Time'!A6)</f>
        <v>46153</v>
      </c>
      <c r="B6" s="4" t="str">
        <f t="shared" si="0"/>
        <v>Monday</v>
      </c>
      <c r="C6" s="4">
        <f>IF(A6="","",COUNTIF(RawData[Date],A6))</f>
        <v>0</v>
      </c>
      <c r="D6" s="10" t="str">
        <f>IF(OR(A6="",C6=0),"",SUMPRODUCT(MIN(IF(RawData[[#This Row],[Date]]=A6,RawData[Time]))))</f>
        <v/>
      </c>
      <c r="E6" s="10" t="str">
        <f>IF(OR(A6="",C6=0),"",SUMPRODUCT(MAX(IF(RawData[[#This Row],[Date]]=A6,RawData[Time]))))</f>
        <v/>
      </c>
    </row>
    <row r="7" spans="1:5" x14ac:dyDescent="0.25">
      <c r="A7" s="7">
        <f>IF('Heatmap Day x Time'!A7="","",'Heatmap Day x Time'!A7)</f>
        <v>46154</v>
      </c>
      <c r="B7" s="4" t="str">
        <f t="shared" si="0"/>
        <v>Tuesday</v>
      </c>
      <c r="C7" s="4">
        <f>IF(A7="","",COUNTIF(RawData[Date],A7))</f>
        <v>0</v>
      </c>
      <c r="D7" s="10" t="str">
        <f>IF(OR(A7="",C7=0),"",SUMPRODUCT(MIN(IF(RawData[[#This Row],[Date]]=A7,RawData[Time]))))</f>
        <v/>
      </c>
      <c r="E7" s="10" t="str">
        <f>IF(OR(A7="",C7=0),"",SUMPRODUCT(MAX(IF(RawData[[#This Row],[Date]]=A7,RawData[Time]))))</f>
        <v/>
      </c>
    </row>
    <row r="8" spans="1:5" x14ac:dyDescent="0.25">
      <c r="A8" s="7">
        <f>IF('Heatmap Day x Time'!A8="","",'Heatmap Day x Time'!A8)</f>
        <v>46155</v>
      </c>
      <c r="B8" s="4" t="str">
        <f t="shared" si="0"/>
        <v>Wednesday</v>
      </c>
      <c r="C8" s="4">
        <f>IF(A8="","",COUNTIF(RawData[Date],A8))</f>
        <v>0</v>
      </c>
      <c r="D8" s="10" t="str">
        <f>IF(OR(A8="",C8=0),"",SUMPRODUCT(MIN(IF(RawData[[#This Row],[Date]]=A8,RawData[Time]))))</f>
        <v/>
      </c>
      <c r="E8" s="10" t="str">
        <f>IF(OR(A8="",C8=0),"",SUMPRODUCT(MAX(IF(RawData[[#This Row],[Date]]=A8,RawData[Time]))))</f>
        <v/>
      </c>
    </row>
    <row r="9" spans="1:5" x14ac:dyDescent="0.25">
      <c r="A9" s="7">
        <f>IF('Heatmap Day x Time'!A9="","",'Heatmap Day x Time'!A9)</f>
        <v>46156</v>
      </c>
      <c r="B9" s="4" t="str">
        <f t="shared" si="0"/>
        <v>Thursday</v>
      </c>
      <c r="C9" s="4">
        <f>IF(A9="","",COUNTIF(RawData[Date],A9))</f>
        <v>0</v>
      </c>
      <c r="D9" s="10" t="str">
        <f>IF(OR(A9="",C9=0),"",SUMPRODUCT(MIN(IF(RawData[[#This Row],[Date]]=A9,RawData[Time]))))</f>
        <v/>
      </c>
      <c r="E9" s="10" t="str">
        <f>IF(OR(A9="",C9=0),"",SUMPRODUCT(MAX(IF(RawData[[#This Row],[Date]]=A9,RawData[Time]))))</f>
        <v/>
      </c>
    </row>
    <row r="10" spans="1:5" x14ac:dyDescent="0.25">
      <c r="A10" s="7">
        <f>IF('Heatmap Day x Time'!A10="","",'Heatmap Day x Time'!A10)</f>
        <v>46157</v>
      </c>
      <c r="B10" s="4" t="str">
        <f t="shared" si="0"/>
        <v>Friday</v>
      </c>
      <c r="C10" s="4">
        <f>IF(A10="","",COUNTIF(RawData[Date],A10))</f>
        <v>0</v>
      </c>
      <c r="D10" s="10" t="str">
        <f>IF(OR(A10="",C10=0),"",SUMPRODUCT(MIN(IF(RawData[[#This Row],[Date]]=A10,RawData[Time]))))</f>
        <v/>
      </c>
      <c r="E10" s="10" t="str">
        <f>IF(OR(A10="",C10=0),"",SUMPRODUCT(MAX(IF(RawData[[#This Row],[Date]]=A10,RawData[Time]))))</f>
        <v/>
      </c>
    </row>
    <row r="11" spans="1:5" x14ac:dyDescent="0.25">
      <c r="A11" s="7" t="str">
        <f>IF('Heatmap Day x Time'!A11="","",'Heatmap Day x Time'!A11)</f>
        <v/>
      </c>
      <c r="B11" s="4" t="str">
        <f t="shared" si="0"/>
        <v/>
      </c>
      <c r="C11" s="4" t="str">
        <f>IF(A11="","",COUNTIF(RawData[Date],A11))</f>
        <v/>
      </c>
      <c r="D11" s="10" t="str">
        <f>IF(OR(A11="",C11=0),"",SUMPRODUCT(MIN(IF(RawData[[#This Row],[Date]]=A11,RawData[Time]))))</f>
        <v/>
      </c>
      <c r="E11" s="10" t="str">
        <f>IF(OR(A11="",C11=0),"",SUMPRODUCT(MAX(IF(RawData[[#This Row],[Date]]=A11,RawData[Time]))))</f>
        <v/>
      </c>
    </row>
    <row r="12" spans="1:5" x14ac:dyDescent="0.25">
      <c r="A12" s="7" t="str">
        <f>IF('Heatmap Day x Time'!A12="","",'Heatmap Day x Time'!A12)</f>
        <v/>
      </c>
      <c r="B12" s="4" t="str">
        <f t="shared" si="0"/>
        <v/>
      </c>
      <c r="C12" s="4" t="str">
        <f>IF(A12="","",COUNTIF(RawData[Date],A12))</f>
        <v/>
      </c>
      <c r="D12" s="10" t="str">
        <f>IF(OR(A12="",C12=0),"",SUMPRODUCT(MIN(IF(RawData[[#This Row],[Date]]=A12,RawData[Time]))))</f>
        <v/>
      </c>
      <c r="E12" s="10" t="str">
        <f>IF(OR(A12="",C12=0),"",SUMPRODUCT(MAX(IF(RawData[[#This Row],[Date]]=A12,RawData[Time]))))</f>
        <v/>
      </c>
    </row>
    <row r="13" spans="1:5" x14ac:dyDescent="0.25">
      <c r="A13" s="7" t="str">
        <f>IF('Heatmap Day x Time'!A13="","",'Heatmap Day x Time'!A13)</f>
        <v/>
      </c>
      <c r="B13" s="4" t="str">
        <f t="shared" si="0"/>
        <v/>
      </c>
      <c r="C13" s="4" t="str">
        <f>IF(A13="","",COUNTIF(RawData[Date],A13))</f>
        <v/>
      </c>
      <c r="D13" s="10" t="str">
        <f>IF(OR(A13="",C13=0),"",SUMPRODUCT(MIN(IF(RawData[[#This Row],[Date]]=A13,RawData[Time]))))</f>
        <v/>
      </c>
      <c r="E13" s="10" t="str">
        <f>IF(OR(A13="",C13=0),"",SUMPRODUCT(MAX(IF(RawData[[#This Row],[Date]]=A13,RawData[Time]))))</f>
        <v/>
      </c>
    </row>
    <row r="14" spans="1:5" x14ac:dyDescent="0.25">
      <c r="A14" s="7" t="str">
        <f>IF('Heatmap Day x Time'!A14="","",'Heatmap Day x Time'!A14)</f>
        <v/>
      </c>
      <c r="B14" s="4" t="str">
        <f t="shared" si="0"/>
        <v/>
      </c>
      <c r="C14" s="4" t="str">
        <f>IF(A14="","",COUNTIF(RawData[Date],A14))</f>
        <v/>
      </c>
      <c r="D14" s="10" t="str">
        <f>IF(OR(A14="",C14=0),"",SUMPRODUCT(MIN(IF(RawData[[#This Row],[Date]]=A14,RawData[Time]))))</f>
        <v/>
      </c>
      <c r="E14" s="10" t="str">
        <f>IF(OR(A14="",C14=0),"",SUMPRODUCT(MAX(IF(RawData[[#This Row],[Date]]=A14,RawData[Time]))))</f>
        <v/>
      </c>
    </row>
    <row r="15" spans="1:5" x14ac:dyDescent="0.25">
      <c r="A15" s="7" t="str">
        <f>IF('Heatmap Day x Time'!A15="","",'Heatmap Day x Time'!A15)</f>
        <v/>
      </c>
      <c r="B15" s="4" t="str">
        <f t="shared" si="0"/>
        <v/>
      </c>
      <c r="C15" s="4" t="str">
        <f>IF(A15="","",COUNTIF(RawData[Date],A15))</f>
        <v/>
      </c>
      <c r="D15" s="10" t="str">
        <f>IF(OR(A15="",C15=0),"",SUMPRODUCT(MIN(IF(RawData[[#This Row],[Date]]=A15,RawData[Time]))))</f>
        <v/>
      </c>
      <c r="E15" s="10" t="str">
        <f>IF(OR(A15="",C15=0),"",SUMPRODUCT(MAX(IF(RawData[[#This Row],[Date]]=A15,RawData[Time]))))</f>
        <v/>
      </c>
    </row>
    <row r="16" spans="1:5" x14ac:dyDescent="0.25">
      <c r="A16" s="7" t="str">
        <f>IF('Heatmap Day x Time'!A16="","",'Heatmap Day x Time'!A16)</f>
        <v/>
      </c>
      <c r="B16" s="4" t="str">
        <f t="shared" si="0"/>
        <v/>
      </c>
      <c r="C16" s="4" t="str">
        <f>IF(A16="","",COUNTIF(RawData[Date],A16))</f>
        <v/>
      </c>
      <c r="D16" s="10" t="str">
        <f>IF(OR(A16="",C16=0),"",SUMPRODUCT(MIN(IF(RawData[[#This Row],[Date]]=A16,RawData[Time]))))</f>
        <v/>
      </c>
      <c r="E16" s="10" t="str">
        <f>IF(OR(A16="",C16=0),"",SUMPRODUCT(MAX(IF(RawData[[#This Row],[Date]]=A16,RawData[Time]))))</f>
        <v/>
      </c>
    </row>
    <row r="17" spans="1:5" x14ac:dyDescent="0.25">
      <c r="A17" s="7" t="str">
        <f>IF('Heatmap Day x Time'!A17="","",'Heatmap Day x Time'!A17)</f>
        <v/>
      </c>
      <c r="B17" s="4" t="str">
        <f t="shared" si="0"/>
        <v/>
      </c>
      <c r="C17" s="4" t="str">
        <f>IF(A17="","",COUNTIF(RawData[Date],A17))</f>
        <v/>
      </c>
      <c r="D17" s="10" t="str">
        <f>IF(OR(A17="",C17=0),"",SUMPRODUCT(MIN(IF(RawData[[#This Row],[Date]]=A17,RawData[Time]))))</f>
        <v/>
      </c>
      <c r="E17" s="10" t="str">
        <f>IF(OR(A17="",C17=0),"",SUMPRODUCT(MAX(IF(RawData[[#This Row],[Date]]=A17,RawData[Time]))))</f>
        <v/>
      </c>
    </row>
    <row r="18" spans="1:5" x14ac:dyDescent="0.25">
      <c r="A18" s="7" t="str">
        <f>IF('Heatmap Day x Time'!A18="","",'Heatmap Day x Time'!A18)</f>
        <v/>
      </c>
      <c r="B18" s="4" t="str">
        <f t="shared" si="0"/>
        <v/>
      </c>
      <c r="C18" s="4" t="str">
        <f>IF(A18="","",COUNTIF(RawData[Date],A18))</f>
        <v/>
      </c>
      <c r="D18" s="10" t="str">
        <f>IF(OR(A18="",C18=0),"",SUMPRODUCT(MIN(IF(RawData[[#This Row],[Date]]=A18,RawData[Time]))))</f>
        <v/>
      </c>
      <c r="E18" s="10" t="str">
        <f>IF(OR(A18="",C18=0),"",SUMPRODUCT(MAX(IF(RawData[[#This Row],[Date]]=A18,RawData[Time]))))</f>
        <v/>
      </c>
    </row>
    <row r="19" spans="1:5" x14ac:dyDescent="0.25">
      <c r="A19" s="7" t="str">
        <f>IF('Heatmap Day x Time'!A19="","",'Heatmap Day x Time'!A19)</f>
        <v/>
      </c>
      <c r="B19" s="4" t="str">
        <f t="shared" si="0"/>
        <v/>
      </c>
      <c r="C19" s="4" t="str">
        <f>IF(A19="","",COUNTIF(RawData[Date],A19))</f>
        <v/>
      </c>
      <c r="D19" s="10" t="str">
        <f>IF(OR(A19="",C19=0),"",SUMPRODUCT(MIN(IF(RawData[[#This Row],[Date]]=A19,RawData[Time]))))</f>
        <v/>
      </c>
      <c r="E19" s="10" t="str">
        <f>IF(OR(A19="",C19=0),"",SUMPRODUCT(MAX(IF(RawData[[#This Row],[Date]]=A19,RawData[Time]))))</f>
        <v/>
      </c>
    </row>
    <row r="20" spans="1:5" x14ac:dyDescent="0.25">
      <c r="A20" s="7" t="str">
        <f>IF('Heatmap Day x Time'!A20="","",'Heatmap Day x Time'!A20)</f>
        <v/>
      </c>
      <c r="B20" s="4" t="str">
        <f t="shared" si="0"/>
        <v/>
      </c>
      <c r="C20" s="4" t="str">
        <f>IF(A20="","",COUNTIF(RawData[Date],A20))</f>
        <v/>
      </c>
      <c r="D20" s="10" t="str">
        <f>IF(OR(A20="",C20=0),"",SUMPRODUCT(MIN(IF(RawData[[#This Row],[Date]]=A20,RawData[Time]))))</f>
        <v/>
      </c>
      <c r="E20" s="10" t="str">
        <f>IF(OR(A20="",C20=0),"",SUMPRODUCT(MAX(IF(RawData[[#This Row],[Date]]=A20,RawData[Time]))))</f>
        <v/>
      </c>
    </row>
    <row r="21" spans="1:5" x14ac:dyDescent="0.25">
      <c r="A21" s="7" t="str">
        <f>IF('Heatmap Day x Time'!A21="","",'Heatmap Day x Time'!A21)</f>
        <v/>
      </c>
      <c r="B21" s="4" t="str">
        <f t="shared" si="0"/>
        <v/>
      </c>
      <c r="C21" s="4" t="str">
        <f>IF(A21="","",COUNTIF(RawData[Date],A21))</f>
        <v/>
      </c>
      <c r="D21" s="10" t="str">
        <f>IF(OR(A21="",C21=0),"",SUMPRODUCT(MIN(IF(RawData[[#This Row],[Date]]=A21,RawData[Time]))))</f>
        <v/>
      </c>
      <c r="E21" s="10" t="str">
        <f>IF(OR(A21="",C21=0),"",SUMPRODUCT(MAX(IF(RawData[[#This Row],[Date]]=A21,RawData[Time]))))</f>
        <v/>
      </c>
    </row>
    <row r="22" spans="1:5" x14ac:dyDescent="0.25">
      <c r="A22" s="7" t="str">
        <f>IF('Heatmap Day x Time'!A22="","",'Heatmap Day x Time'!A22)</f>
        <v/>
      </c>
      <c r="B22" s="4" t="str">
        <f t="shared" si="0"/>
        <v/>
      </c>
      <c r="C22" s="4" t="str">
        <f>IF(A22="","",COUNTIF(RawData[Date],A22))</f>
        <v/>
      </c>
      <c r="D22" s="10" t="str">
        <f>IF(OR(A22="",C22=0),"",SUMPRODUCT(MIN(IF(RawData[[#This Row],[Date]]=A22,RawData[Time]))))</f>
        <v/>
      </c>
      <c r="E22" s="10" t="str">
        <f>IF(OR(A22="",C22=0),"",SUMPRODUCT(MAX(IF(RawData[[#This Row],[Date]]=A22,RawData[Time]))))</f>
        <v/>
      </c>
    </row>
    <row r="23" spans="1:5" x14ac:dyDescent="0.25">
      <c r="A23" s="7" t="str">
        <f>IF('Heatmap Day x Time'!A23="","",'Heatmap Day x Time'!A23)</f>
        <v/>
      </c>
      <c r="B23" s="4" t="str">
        <f t="shared" si="0"/>
        <v/>
      </c>
      <c r="C23" s="4" t="str">
        <f>IF(A23="","",COUNTIF(RawData[Date],A23))</f>
        <v/>
      </c>
      <c r="D23" s="10" t="str">
        <f>IF(OR(A23="",C23=0),"",SUMPRODUCT(MIN(IF(RawData[[#This Row],[Date]]=A23,RawData[Time]))))</f>
        <v/>
      </c>
      <c r="E23" s="10" t="str">
        <f>IF(OR(A23="",C23=0),"",SUMPRODUCT(MAX(IF(RawData[[#This Row],[Date]]=A23,RawData[Time]))))</f>
        <v/>
      </c>
    </row>
    <row r="24" spans="1:5" x14ac:dyDescent="0.25">
      <c r="A24" s="7" t="str">
        <f>IF('Heatmap Day x Time'!A24="","",'Heatmap Day x Time'!A24)</f>
        <v/>
      </c>
      <c r="B24" s="4" t="str">
        <f t="shared" si="0"/>
        <v/>
      </c>
      <c r="C24" s="4" t="str">
        <f>IF(A24="","",COUNTIF(RawData[Date],A24))</f>
        <v/>
      </c>
      <c r="D24" s="10" t="str">
        <f>IF(OR(A24="",C24=0),"",SUMPRODUCT(MIN(IF(RawData[[#This Row],[Date]]=A24,RawData[Time]))))</f>
        <v/>
      </c>
      <c r="E24" s="10" t="str">
        <f>IF(OR(A24="",C24=0),"",SUMPRODUCT(MAX(IF(RawData[[#This Row],[Date]]=A24,RawData[Time]))))</f>
        <v/>
      </c>
    </row>
    <row r="25" spans="1:5" x14ac:dyDescent="0.25">
      <c r="A25" s="7" t="str">
        <f>IF('Heatmap Day x Time'!A25="","",'Heatmap Day x Time'!A25)</f>
        <v/>
      </c>
      <c r="B25" s="4" t="str">
        <f t="shared" si="0"/>
        <v/>
      </c>
      <c r="C25" s="4" t="str">
        <f>IF(A25="","",COUNTIF(RawData[Date],A25))</f>
        <v/>
      </c>
      <c r="D25" s="10" t="str">
        <f>IF(OR(A25="",C25=0),"",SUMPRODUCT(MIN(IF(RawData[[#This Row],[Date]]=A25,RawData[Time]))))</f>
        <v/>
      </c>
      <c r="E25" s="10" t="str">
        <f>IF(OR(A25="",C25=0),"",SUMPRODUCT(MAX(IF(RawData[[#This Row],[Date]]=A25,RawData[Time]))))</f>
        <v/>
      </c>
    </row>
    <row r="26" spans="1:5" x14ac:dyDescent="0.25">
      <c r="A26" s="7" t="str">
        <f>IF('Heatmap Day x Time'!A26="","",'Heatmap Day x Time'!A26)</f>
        <v/>
      </c>
      <c r="B26" s="4" t="str">
        <f t="shared" si="0"/>
        <v/>
      </c>
      <c r="C26" s="4" t="str">
        <f>IF(A26="","",COUNTIF(RawData[Date],A26))</f>
        <v/>
      </c>
      <c r="D26" s="10" t="str">
        <f>IF(OR(A26="",C26=0),"",SUMPRODUCT(MIN(IF(RawData[[#This Row],[Date]]=A26,RawData[Time]))))</f>
        <v/>
      </c>
      <c r="E26" s="10" t="str">
        <f>IF(OR(A26="",C26=0),"",SUMPRODUCT(MAX(IF(RawData[[#This Row],[Date]]=A26,RawData[Time]))))</f>
        <v/>
      </c>
    </row>
    <row r="27" spans="1:5" x14ac:dyDescent="0.25">
      <c r="A27" s="7" t="str">
        <f>IF('Heatmap Day x Time'!A27="","",'Heatmap Day x Time'!A27)</f>
        <v/>
      </c>
      <c r="B27" s="4" t="str">
        <f t="shared" si="0"/>
        <v/>
      </c>
      <c r="C27" s="4" t="str">
        <f>IF(A27="","",COUNTIF(RawData[Date],A27))</f>
        <v/>
      </c>
      <c r="D27" s="10" t="str">
        <f>IF(OR(A27="",C27=0),"",SUMPRODUCT(MIN(IF(RawData[[#This Row],[Date]]=A27,RawData[Time]))))</f>
        <v/>
      </c>
      <c r="E27" s="10" t="str">
        <f>IF(OR(A27="",C27=0),"",SUMPRODUCT(MAX(IF(RawData[[#This Row],[Date]]=A27,RawData[Time]))))</f>
        <v/>
      </c>
    </row>
    <row r="28" spans="1:5" x14ac:dyDescent="0.25">
      <c r="A28" s="7" t="str">
        <f>IF('Heatmap Day x Time'!A28="","",'Heatmap Day x Time'!A28)</f>
        <v/>
      </c>
      <c r="B28" s="4" t="str">
        <f t="shared" si="0"/>
        <v/>
      </c>
      <c r="C28" s="4" t="str">
        <f>IF(A28="","",COUNTIF(RawData[Date],A28))</f>
        <v/>
      </c>
      <c r="D28" s="10" t="str">
        <f>IF(OR(A28="",C28=0),"",SUMPRODUCT(MIN(IF(RawData[[#This Row],[Date]]=A28,RawData[Time]))))</f>
        <v/>
      </c>
      <c r="E28" s="10" t="str">
        <f>IF(OR(A28="",C28=0),"",SUMPRODUCT(MAX(IF(RawData[[#This Row],[Date]]=A28,RawData[Time]))))</f>
        <v/>
      </c>
    </row>
    <row r="29" spans="1:5" x14ac:dyDescent="0.25">
      <c r="A29" s="7" t="str">
        <f>IF('Heatmap Day x Time'!A29="","",'Heatmap Day x Time'!A29)</f>
        <v/>
      </c>
      <c r="B29" s="4" t="str">
        <f t="shared" si="0"/>
        <v/>
      </c>
      <c r="C29" s="4" t="str">
        <f>IF(A29="","",COUNTIF(RawData[Date],A29))</f>
        <v/>
      </c>
      <c r="D29" s="10" t="str">
        <f>IF(OR(A29="",C29=0),"",SUMPRODUCT(MIN(IF(RawData[[#This Row],[Date]]=A29,RawData[Time]))))</f>
        <v/>
      </c>
      <c r="E29" s="10" t="str">
        <f>IF(OR(A29="",C29=0),"",SUMPRODUCT(MAX(IF(RawData[[#This Row],[Date]]=A29,RawData[Time]))))</f>
        <v/>
      </c>
    </row>
    <row r="30" spans="1:5" x14ac:dyDescent="0.25">
      <c r="A30" s="7" t="str">
        <f>IF('Heatmap Day x Time'!A30="","",'Heatmap Day x Time'!A30)</f>
        <v/>
      </c>
      <c r="B30" s="4" t="str">
        <f t="shared" si="0"/>
        <v/>
      </c>
      <c r="C30" s="4" t="str">
        <f>IF(A30="","",COUNTIF(RawData[Date],A30))</f>
        <v/>
      </c>
      <c r="D30" s="10" t="str">
        <f>IF(OR(A30="",C30=0),"",SUMPRODUCT(MIN(IF(RawData[[#This Row],[Date]]=A30,RawData[Time]))))</f>
        <v/>
      </c>
      <c r="E30" s="10" t="str">
        <f>IF(OR(A30="",C30=0),"",SUMPRODUCT(MAX(IF(RawData[[#This Row],[Date]]=A30,RawData[Time]))))</f>
        <v/>
      </c>
    </row>
    <row r="31" spans="1:5" x14ac:dyDescent="0.25">
      <c r="A31" s="7" t="str">
        <f>IF('Heatmap Day x Time'!A31="","",'Heatmap Day x Time'!A31)</f>
        <v/>
      </c>
      <c r="B31" s="4" t="str">
        <f t="shared" si="0"/>
        <v/>
      </c>
      <c r="C31" s="4" t="str">
        <f>IF(A31="","",COUNTIF(RawData[Date],A31))</f>
        <v/>
      </c>
      <c r="D31" s="10" t="str">
        <f>IF(OR(A31="",C31=0),"",SUMPRODUCT(MIN(IF(RawData[[#This Row],[Date]]=A31,RawData[Time]))))</f>
        <v/>
      </c>
      <c r="E31" s="10" t="str">
        <f>IF(OR(A31="",C31=0),"",SUMPRODUCT(MAX(IF(RawData[[#This Row],[Date]]=A31,RawData[Time]))))</f>
        <v/>
      </c>
    </row>
    <row r="32" spans="1:5" x14ac:dyDescent="0.25">
      <c r="A32" s="7" t="str">
        <f>IF('Heatmap Day x Time'!A32="","",'Heatmap Day x Time'!A32)</f>
        <v/>
      </c>
      <c r="B32" s="4" t="str">
        <f t="shared" si="0"/>
        <v/>
      </c>
      <c r="C32" s="4" t="str">
        <f>IF(A32="","",COUNTIF(RawData[Date],A32))</f>
        <v/>
      </c>
      <c r="D32" s="10" t="str">
        <f>IF(OR(A32="",C32=0),"",SUMPRODUCT(MIN(IF(RawData[[#This Row],[Date]]=A32,RawData[Time]))))</f>
        <v/>
      </c>
      <c r="E32" s="10" t="str">
        <f>IF(OR(A32="",C32=0),"",SUMPRODUCT(MAX(IF(RawData[[#This Row],[Date]]=A32,RawData[Time]))))</f>
        <v/>
      </c>
    </row>
    <row r="33" spans="1:5" x14ac:dyDescent="0.25">
      <c r="A33" s="7" t="str">
        <f>IF('Heatmap Day x Time'!A33="","",'Heatmap Day x Time'!A33)</f>
        <v/>
      </c>
      <c r="B33" s="4" t="str">
        <f t="shared" si="0"/>
        <v/>
      </c>
      <c r="C33" s="4" t="str">
        <f>IF(A33="","",COUNTIF(RawData[Date],A33))</f>
        <v/>
      </c>
      <c r="D33" s="10" t="str">
        <f>IF(OR(A33="",C33=0),"",SUMPRODUCT(MIN(IF(RawData[[#This Row],[Date]]=A33,RawData[Time]))))</f>
        <v/>
      </c>
      <c r="E33" s="10" t="str">
        <f>IF(OR(A33="",C33=0),"",SUMPRODUCT(MAX(IF(RawData[[#This Row],[Date]]=A33,RawData[Time]))))</f>
        <v/>
      </c>
    </row>
    <row r="34" spans="1:5" x14ac:dyDescent="0.25">
      <c r="A34" s="7" t="str">
        <f>IF('Heatmap Day x Time'!A34="","",'Heatmap Day x Time'!A34)</f>
        <v/>
      </c>
      <c r="B34" s="4" t="str">
        <f t="shared" si="0"/>
        <v/>
      </c>
      <c r="C34" s="4" t="str">
        <f>IF(A34="","",COUNTIF(RawData[Date],A34))</f>
        <v/>
      </c>
      <c r="D34" s="10" t="str">
        <f>IF(OR(A34="",C34=0),"",SUMPRODUCT(MIN(IF(RawData[[#This Row],[Date]]=A34,RawData[Time]))))</f>
        <v/>
      </c>
      <c r="E34" s="10" t="str">
        <f>IF(OR(A34="",C34=0),"",SUMPRODUCT(MAX(IF(RawData[[#This Row],[Date]]=A34,RawData[Time]))))</f>
        <v/>
      </c>
    </row>
    <row r="35" spans="1:5" x14ac:dyDescent="0.25">
      <c r="A35" s="7" t="str">
        <f>IF('Heatmap Day x Time'!A35="","",'Heatmap Day x Time'!A35)</f>
        <v/>
      </c>
      <c r="B35" s="4" t="str">
        <f t="shared" si="0"/>
        <v/>
      </c>
      <c r="C35" s="4" t="str">
        <f>IF(A35="","",COUNTIF(RawData[Date],A35))</f>
        <v/>
      </c>
      <c r="D35" s="10" t="str">
        <f>IF(OR(A35="",C35=0),"",SUMPRODUCT(MIN(IF(RawData[[#This Row],[Date]]=A35,RawData[Time]))))</f>
        <v/>
      </c>
      <c r="E35" s="10" t="str">
        <f>IF(OR(A35="",C35=0),"",SUMPRODUCT(MAX(IF(RawData[[#This Row],[Date]]=A35,RawData[Time]))))</f>
        <v/>
      </c>
    </row>
    <row r="36" spans="1:5" x14ac:dyDescent="0.25">
      <c r="A36" s="7" t="str">
        <f>IF('Heatmap Day x Time'!A36="","",'Heatmap Day x Time'!A36)</f>
        <v/>
      </c>
      <c r="B36" s="4" t="str">
        <f t="shared" si="0"/>
        <v/>
      </c>
      <c r="C36" s="4" t="str">
        <f>IF(A36="","",COUNTIF(RawData[Date],A36))</f>
        <v/>
      </c>
      <c r="D36" s="10" t="str">
        <f>IF(OR(A36="",C36=0),"",SUMPRODUCT(MIN(IF(RawData[[#This Row],[Date]]=A36,RawData[Time]))))</f>
        <v/>
      </c>
      <c r="E36" s="10" t="str">
        <f>IF(OR(A36="",C36=0),"",SUMPRODUCT(MAX(IF(RawData[[#This Row],[Date]]=A36,RawData[Time]))))</f>
        <v/>
      </c>
    </row>
    <row r="37" spans="1:5" x14ac:dyDescent="0.25">
      <c r="A37" s="7" t="str">
        <f>IF('Heatmap Day x Time'!A37="","",'Heatmap Day x Time'!A37)</f>
        <v/>
      </c>
      <c r="B37" s="4" t="str">
        <f t="shared" ref="B37:B68" si="1">IF(A37="","",CHOOSE(WEEKDAY(A37,2),"Monday","Tuesday","Wednesday","Thursday","Friday","Saturday","Sunday"))</f>
        <v/>
      </c>
      <c r="C37" s="4" t="str">
        <f>IF(A37="","",COUNTIF(RawData[Date],A37))</f>
        <v/>
      </c>
      <c r="D37" s="10" t="str">
        <f>IF(OR(A37="",C37=0),"",SUMPRODUCT(MIN(IF(RawData[[#This Row],[Date]]=A37,RawData[Time]))))</f>
        <v/>
      </c>
      <c r="E37" s="10" t="str">
        <f>IF(OR(A37="",C37=0),"",SUMPRODUCT(MAX(IF(RawData[[#This Row],[Date]]=A37,RawData[Time]))))</f>
        <v/>
      </c>
    </row>
    <row r="38" spans="1:5" x14ac:dyDescent="0.25">
      <c r="A38" s="7" t="str">
        <f>IF('Heatmap Day x Time'!A38="","",'Heatmap Day x Time'!A38)</f>
        <v/>
      </c>
      <c r="B38" s="4" t="str">
        <f t="shared" si="1"/>
        <v/>
      </c>
      <c r="C38" s="4" t="str">
        <f>IF(A38="","",COUNTIF(RawData[Date],A38))</f>
        <v/>
      </c>
      <c r="D38" s="10" t="str">
        <f>IF(OR(A38="",C38=0),"",SUMPRODUCT(MIN(IF(RawData[[#This Row],[Date]]=A38,RawData[Time]))))</f>
        <v/>
      </c>
      <c r="E38" s="10" t="str">
        <f>IF(OR(A38="",C38=0),"",SUMPRODUCT(MAX(IF(RawData[[#This Row],[Date]]=A38,RawData[Time]))))</f>
        <v/>
      </c>
    </row>
    <row r="39" spans="1:5" x14ac:dyDescent="0.25">
      <c r="A39" s="7" t="str">
        <f>IF('Heatmap Day x Time'!A39="","",'Heatmap Day x Time'!A39)</f>
        <v/>
      </c>
      <c r="B39" s="4" t="str">
        <f t="shared" si="1"/>
        <v/>
      </c>
      <c r="C39" s="4" t="str">
        <f>IF(A39="","",COUNTIF(RawData[Date],A39))</f>
        <v/>
      </c>
      <c r="D39" s="10" t="str">
        <f>IF(OR(A39="",C39=0),"",SUMPRODUCT(MIN(IF(RawData[[#This Row],[Date]]=A39,RawData[Time]))))</f>
        <v/>
      </c>
      <c r="E39" s="10" t="str">
        <f>IF(OR(A39="",C39=0),"",SUMPRODUCT(MAX(IF(RawData[[#This Row],[Date]]=A39,RawData[Time]))))</f>
        <v/>
      </c>
    </row>
    <row r="40" spans="1:5" x14ac:dyDescent="0.25">
      <c r="A40" s="7" t="str">
        <f>IF('Heatmap Day x Time'!A40="","",'Heatmap Day x Time'!A40)</f>
        <v/>
      </c>
      <c r="B40" s="4" t="str">
        <f t="shared" si="1"/>
        <v/>
      </c>
      <c r="C40" s="4" t="str">
        <f>IF(A40="","",COUNTIF(RawData[Date],A40))</f>
        <v/>
      </c>
      <c r="D40" s="10" t="str">
        <f>IF(OR(A40="",C40=0),"",SUMPRODUCT(MIN(IF(RawData[[#This Row],[Date]]=A40,RawData[Time]))))</f>
        <v/>
      </c>
      <c r="E40" s="10" t="str">
        <f>IF(OR(A40="",C40=0),"",SUMPRODUCT(MAX(IF(RawData[[#This Row],[Date]]=A40,RawData[Time]))))</f>
        <v/>
      </c>
    </row>
    <row r="41" spans="1:5" x14ac:dyDescent="0.25">
      <c r="A41" s="7" t="str">
        <f>IF('Heatmap Day x Time'!A41="","",'Heatmap Day x Time'!A41)</f>
        <v/>
      </c>
      <c r="B41" s="4" t="str">
        <f t="shared" si="1"/>
        <v/>
      </c>
      <c r="C41" s="4" t="str">
        <f>IF(A41="","",COUNTIF(RawData[Date],A41))</f>
        <v/>
      </c>
      <c r="D41" s="10" t="str">
        <f>IF(OR(A41="",C41=0),"",SUMPRODUCT(MIN(IF(RawData[[#This Row],[Date]]=A41,RawData[Time]))))</f>
        <v/>
      </c>
      <c r="E41" s="10" t="str">
        <f>IF(OR(A41="",C41=0),"",SUMPRODUCT(MAX(IF(RawData[[#This Row],[Date]]=A41,RawData[Time]))))</f>
        <v/>
      </c>
    </row>
    <row r="42" spans="1:5" x14ac:dyDescent="0.25">
      <c r="A42" s="7" t="str">
        <f>IF('Heatmap Day x Time'!A42="","",'Heatmap Day x Time'!A42)</f>
        <v/>
      </c>
      <c r="B42" s="4" t="str">
        <f t="shared" si="1"/>
        <v/>
      </c>
      <c r="C42" s="4" t="str">
        <f>IF(A42="","",COUNTIF(RawData[Date],A42))</f>
        <v/>
      </c>
      <c r="D42" s="10" t="str">
        <f>IF(OR(A42="",C42=0),"",SUMPRODUCT(MIN(IF(RawData[[#This Row],[Date]]=A42,RawData[Time]))))</f>
        <v/>
      </c>
      <c r="E42" s="10" t="str">
        <f>IF(OR(A42="",C42=0),"",SUMPRODUCT(MAX(IF(RawData[[#This Row],[Date]]=A42,RawData[Time]))))</f>
        <v/>
      </c>
    </row>
    <row r="43" spans="1:5" x14ac:dyDescent="0.25">
      <c r="A43" s="7" t="str">
        <f>IF('Heatmap Day x Time'!A43="","",'Heatmap Day x Time'!A43)</f>
        <v/>
      </c>
      <c r="B43" s="4" t="str">
        <f t="shared" si="1"/>
        <v/>
      </c>
      <c r="C43" s="4" t="str">
        <f>IF(A43="","",COUNTIF(RawData[Date],A43))</f>
        <v/>
      </c>
      <c r="D43" s="10" t="str">
        <f>IF(OR(A43="",C43=0),"",SUMPRODUCT(MIN(IF(RawData[[#This Row],[Date]]=A43,RawData[Time]))))</f>
        <v/>
      </c>
      <c r="E43" s="10" t="str">
        <f>IF(OR(A43="",C43=0),"",SUMPRODUCT(MAX(IF(RawData[[#This Row],[Date]]=A43,RawData[Time]))))</f>
        <v/>
      </c>
    </row>
    <row r="44" spans="1:5" x14ac:dyDescent="0.25">
      <c r="A44" s="7" t="str">
        <f>IF('Heatmap Day x Time'!A44="","",'Heatmap Day x Time'!A44)</f>
        <v/>
      </c>
      <c r="B44" s="4" t="str">
        <f t="shared" si="1"/>
        <v/>
      </c>
      <c r="C44" s="4" t="str">
        <f>IF(A44="","",COUNTIF(RawData[Date],A44))</f>
        <v/>
      </c>
      <c r="D44" s="10" t="str">
        <f>IF(OR(A44="",C44=0),"",SUMPRODUCT(MIN(IF(RawData[[#This Row],[Date]]=A44,RawData[Time]))))</f>
        <v/>
      </c>
      <c r="E44" s="10" t="str">
        <f>IF(OR(A44="",C44=0),"",SUMPRODUCT(MAX(IF(RawData[[#This Row],[Date]]=A44,RawData[Time]))))</f>
        <v/>
      </c>
    </row>
    <row r="45" spans="1:5" x14ac:dyDescent="0.25">
      <c r="A45" s="7" t="str">
        <f>IF('Heatmap Day x Time'!A45="","",'Heatmap Day x Time'!A45)</f>
        <v/>
      </c>
      <c r="B45" s="4" t="str">
        <f t="shared" si="1"/>
        <v/>
      </c>
      <c r="C45" s="4" t="str">
        <f>IF(A45="","",COUNTIF(RawData[Date],A45))</f>
        <v/>
      </c>
      <c r="D45" s="10" t="str">
        <f>IF(OR(A45="",C45=0),"",SUMPRODUCT(MIN(IF(RawData[[#This Row],[Date]]=A45,RawData[Time]))))</f>
        <v/>
      </c>
      <c r="E45" s="10" t="str">
        <f>IF(OR(A45="",C45=0),"",SUMPRODUCT(MAX(IF(RawData[[#This Row],[Date]]=A45,RawData[Time]))))</f>
        <v/>
      </c>
    </row>
    <row r="46" spans="1:5" x14ac:dyDescent="0.25">
      <c r="A46" s="7" t="str">
        <f>IF('Heatmap Day x Time'!A46="","",'Heatmap Day x Time'!A46)</f>
        <v/>
      </c>
      <c r="B46" s="4" t="str">
        <f t="shared" si="1"/>
        <v/>
      </c>
      <c r="C46" s="4" t="str">
        <f>IF(A46="","",COUNTIF(RawData[Date],A46))</f>
        <v/>
      </c>
      <c r="D46" s="10" t="str">
        <f>IF(OR(A46="",C46=0),"",SUMPRODUCT(MIN(IF(RawData[[#This Row],[Date]]=A46,RawData[Time]))))</f>
        <v/>
      </c>
      <c r="E46" s="10" t="str">
        <f>IF(OR(A46="",C46=0),"",SUMPRODUCT(MAX(IF(RawData[[#This Row],[Date]]=A46,RawData[Time]))))</f>
        <v/>
      </c>
    </row>
    <row r="47" spans="1:5" x14ac:dyDescent="0.25">
      <c r="A47" s="7" t="str">
        <f>IF('Heatmap Day x Time'!A47="","",'Heatmap Day x Time'!A47)</f>
        <v/>
      </c>
      <c r="B47" s="4" t="str">
        <f t="shared" si="1"/>
        <v/>
      </c>
      <c r="C47" s="4" t="str">
        <f>IF(A47="","",COUNTIF(RawData[Date],A47))</f>
        <v/>
      </c>
      <c r="D47" s="10" t="str">
        <f>IF(OR(A47="",C47=0),"",SUMPRODUCT(MIN(IF(RawData[[#This Row],[Date]]=A47,RawData[Time]))))</f>
        <v/>
      </c>
      <c r="E47" s="10" t="str">
        <f>IF(OR(A47="",C47=0),"",SUMPRODUCT(MAX(IF(RawData[[#This Row],[Date]]=A47,RawData[Time]))))</f>
        <v/>
      </c>
    </row>
    <row r="48" spans="1:5" x14ac:dyDescent="0.25">
      <c r="A48" s="7" t="str">
        <f>IF('Heatmap Day x Time'!A48="","",'Heatmap Day x Time'!A48)</f>
        <v/>
      </c>
      <c r="B48" s="4" t="str">
        <f t="shared" si="1"/>
        <v/>
      </c>
      <c r="C48" s="4" t="str">
        <f>IF(A48="","",COUNTIF(RawData[Date],A48))</f>
        <v/>
      </c>
      <c r="D48" s="10" t="str">
        <f>IF(OR(A48="",C48=0),"",SUMPRODUCT(MIN(IF(RawData[[#This Row],[Date]]=A48,RawData[Time]))))</f>
        <v/>
      </c>
      <c r="E48" s="10" t="str">
        <f>IF(OR(A48="",C48=0),"",SUMPRODUCT(MAX(IF(RawData[[#This Row],[Date]]=A48,RawData[Time]))))</f>
        <v/>
      </c>
    </row>
    <row r="49" spans="1:5" x14ac:dyDescent="0.25">
      <c r="A49" s="7" t="str">
        <f>IF('Heatmap Day x Time'!A49="","",'Heatmap Day x Time'!A49)</f>
        <v/>
      </c>
      <c r="B49" s="4" t="str">
        <f t="shared" si="1"/>
        <v/>
      </c>
      <c r="C49" s="4" t="str">
        <f>IF(A49="","",COUNTIF(RawData[Date],A49))</f>
        <v/>
      </c>
      <c r="D49" s="10" t="str">
        <f>IF(OR(A49="",C49=0),"",SUMPRODUCT(MIN(IF(RawData[[#This Row],[Date]]=A49,RawData[Time]))))</f>
        <v/>
      </c>
      <c r="E49" s="10" t="str">
        <f>IF(OR(A49="",C49=0),"",SUMPRODUCT(MAX(IF(RawData[[#This Row],[Date]]=A49,RawData[Time]))))</f>
        <v/>
      </c>
    </row>
    <row r="50" spans="1:5" x14ac:dyDescent="0.25">
      <c r="A50" s="7" t="str">
        <f>IF('Heatmap Day x Time'!A50="","",'Heatmap Day x Time'!A50)</f>
        <v/>
      </c>
      <c r="B50" s="4" t="str">
        <f t="shared" si="1"/>
        <v/>
      </c>
      <c r="C50" s="4" t="str">
        <f>IF(A50="","",COUNTIF(RawData[Date],A50))</f>
        <v/>
      </c>
      <c r="D50" s="10" t="str">
        <f>IF(OR(A50="",C50=0),"",SUMPRODUCT(MIN(IF(RawData[[#This Row],[Date]]=A50,RawData[Time]))))</f>
        <v/>
      </c>
      <c r="E50" s="10" t="str">
        <f>IF(OR(A50="",C50=0),"",SUMPRODUCT(MAX(IF(RawData[[#This Row],[Date]]=A50,RawData[Time]))))</f>
        <v/>
      </c>
    </row>
    <row r="51" spans="1:5" x14ac:dyDescent="0.25">
      <c r="A51" s="7" t="str">
        <f>IF('Heatmap Day x Time'!A51="","",'Heatmap Day x Time'!A51)</f>
        <v/>
      </c>
      <c r="B51" s="4" t="str">
        <f t="shared" si="1"/>
        <v/>
      </c>
      <c r="C51" s="4" t="str">
        <f>IF(A51="","",COUNTIF(RawData[Date],A51))</f>
        <v/>
      </c>
      <c r="D51" s="10" t="str">
        <f>IF(OR(A51="",C51=0),"",SUMPRODUCT(MIN(IF(RawData[[#This Row],[Date]]=A51,RawData[Time]))))</f>
        <v/>
      </c>
      <c r="E51" s="10" t="str">
        <f>IF(OR(A51="",C51=0),"",SUMPRODUCT(MAX(IF(RawData[[#This Row],[Date]]=A51,RawData[Time]))))</f>
        <v/>
      </c>
    </row>
    <row r="52" spans="1:5" x14ac:dyDescent="0.25">
      <c r="A52" s="7" t="str">
        <f>IF('Heatmap Day x Time'!A52="","",'Heatmap Day x Time'!A52)</f>
        <v/>
      </c>
      <c r="B52" s="4" t="str">
        <f t="shared" si="1"/>
        <v/>
      </c>
      <c r="C52" s="4" t="str">
        <f>IF(A52="","",COUNTIF(RawData[Date],A52))</f>
        <v/>
      </c>
      <c r="D52" s="10" t="str">
        <f>IF(OR(A52="",C52=0),"",SUMPRODUCT(MIN(IF(RawData[[#This Row],[Date]]=A52,RawData[Time]))))</f>
        <v/>
      </c>
      <c r="E52" s="10" t="str">
        <f>IF(OR(A52="",C52=0),"",SUMPRODUCT(MAX(IF(RawData[[#This Row],[Date]]=A52,RawData[Time]))))</f>
        <v/>
      </c>
    </row>
    <row r="53" spans="1:5" x14ac:dyDescent="0.25">
      <c r="A53" s="7" t="str">
        <f>IF('Heatmap Day x Time'!A53="","",'Heatmap Day x Time'!A53)</f>
        <v/>
      </c>
      <c r="B53" s="4" t="str">
        <f t="shared" si="1"/>
        <v/>
      </c>
      <c r="C53" s="4" t="str">
        <f>IF(A53="","",COUNTIF(RawData[Date],A53))</f>
        <v/>
      </c>
      <c r="D53" s="10" t="str">
        <f>IF(OR(A53="",C53=0),"",SUMPRODUCT(MIN(IF(RawData[[#This Row],[Date]]=A53,RawData[Time]))))</f>
        <v/>
      </c>
      <c r="E53" s="10" t="str">
        <f>IF(OR(A53="",C53=0),"",SUMPRODUCT(MAX(IF(RawData[[#This Row],[Date]]=A53,RawData[Time]))))</f>
        <v/>
      </c>
    </row>
    <row r="54" spans="1:5" x14ac:dyDescent="0.25">
      <c r="A54" s="7" t="str">
        <f>IF('Heatmap Day x Time'!A54="","",'Heatmap Day x Time'!A54)</f>
        <v/>
      </c>
      <c r="B54" s="4" t="str">
        <f t="shared" si="1"/>
        <v/>
      </c>
      <c r="C54" s="4" t="str">
        <f>IF(A54="","",COUNTIF(RawData[Date],A54))</f>
        <v/>
      </c>
      <c r="D54" s="10" t="str">
        <f>IF(OR(A54="",C54=0),"",SUMPRODUCT(MIN(IF(RawData[[#This Row],[Date]]=A54,RawData[Time]))))</f>
        <v/>
      </c>
      <c r="E54" s="10" t="str">
        <f>IF(OR(A54="",C54=0),"",SUMPRODUCT(MAX(IF(RawData[[#This Row],[Date]]=A54,RawData[Time]))))</f>
        <v/>
      </c>
    </row>
    <row r="55" spans="1:5" x14ac:dyDescent="0.25">
      <c r="A55" s="7" t="str">
        <f>IF('Heatmap Day x Time'!A55="","",'Heatmap Day x Time'!A55)</f>
        <v/>
      </c>
      <c r="B55" s="4" t="str">
        <f t="shared" si="1"/>
        <v/>
      </c>
      <c r="C55" s="4" t="str">
        <f>IF(A55="","",COUNTIF(RawData[Date],A55))</f>
        <v/>
      </c>
      <c r="D55" s="10" t="str">
        <f>IF(OR(A55="",C55=0),"",SUMPRODUCT(MIN(IF(RawData[[#This Row],[Date]]=A55,RawData[Time]))))</f>
        <v/>
      </c>
      <c r="E55" s="10" t="str">
        <f>IF(OR(A55="",C55=0),"",SUMPRODUCT(MAX(IF(RawData[[#This Row],[Date]]=A55,RawData[Time]))))</f>
        <v/>
      </c>
    </row>
    <row r="56" spans="1:5" x14ac:dyDescent="0.25">
      <c r="A56" s="7" t="str">
        <f>IF('Heatmap Day x Time'!A56="","",'Heatmap Day x Time'!A56)</f>
        <v/>
      </c>
      <c r="B56" s="4" t="str">
        <f t="shared" si="1"/>
        <v/>
      </c>
      <c r="C56" s="4" t="str">
        <f>IF(A56="","",COUNTIF(RawData[Date],A56))</f>
        <v/>
      </c>
      <c r="D56" s="10" t="str">
        <f>IF(OR(A56="",C56=0),"",SUMPRODUCT(MIN(IF(RawData[[#This Row],[Date]]=A56,RawData[Time]))))</f>
        <v/>
      </c>
      <c r="E56" s="10" t="str">
        <f>IF(OR(A56="",C56=0),"",SUMPRODUCT(MAX(IF(RawData[[#This Row],[Date]]=A56,RawData[Time]))))</f>
        <v/>
      </c>
    </row>
    <row r="57" spans="1:5" x14ac:dyDescent="0.25">
      <c r="A57" s="7" t="str">
        <f>IF('Heatmap Day x Time'!A57="","",'Heatmap Day x Time'!A57)</f>
        <v/>
      </c>
      <c r="B57" s="4" t="str">
        <f t="shared" si="1"/>
        <v/>
      </c>
      <c r="C57" s="4" t="str">
        <f>IF(A57="","",COUNTIF(RawData[Date],A57))</f>
        <v/>
      </c>
      <c r="D57" s="10" t="str">
        <f>IF(OR(A57="",C57=0),"",SUMPRODUCT(MIN(IF(RawData[[#This Row],[Date]]=A57,RawData[Time]))))</f>
        <v/>
      </c>
      <c r="E57" s="10" t="str">
        <f>IF(OR(A57="",C57=0),"",SUMPRODUCT(MAX(IF(RawData[[#This Row],[Date]]=A57,RawData[Time]))))</f>
        <v/>
      </c>
    </row>
    <row r="58" spans="1:5" x14ac:dyDescent="0.25">
      <c r="A58" s="7" t="str">
        <f>IF('Heatmap Day x Time'!A58="","",'Heatmap Day x Time'!A58)</f>
        <v/>
      </c>
      <c r="B58" s="4" t="str">
        <f t="shared" si="1"/>
        <v/>
      </c>
      <c r="C58" s="4" t="str">
        <f>IF(A58="","",COUNTIF(RawData[Date],A58))</f>
        <v/>
      </c>
      <c r="D58" s="10" t="str">
        <f>IF(OR(A58="",C58=0),"",SUMPRODUCT(MIN(IF(RawData[[#This Row],[Date]]=A58,RawData[Time]))))</f>
        <v/>
      </c>
      <c r="E58" s="10" t="str">
        <f>IF(OR(A58="",C58=0),"",SUMPRODUCT(MAX(IF(RawData[[#This Row],[Date]]=A58,RawData[Time]))))</f>
        <v/>
      </c>
    </row>
    <row r="59" spans="1:5" x14ac:dyDescent="0.25">
      <c r="A59" s="7" t="str">
        <f>IF('Heatmap Day x Time'!A59="","",'Heatmap Day x Time'!A59)</f>
        <v/>
      </c>
      <c r="B59" s="4" t="str">
        <f t="shared" si="1"/>
        <v/>
      </c>
      <c r="C59" s="4" t="str">
        <f>IF(A59="","",COUNTIF(RawData[Date],A59))</f>
        <v/>
      </c>
      <c r="D59" s="10" t="str">
        <f>IF(OR(A59="",C59=0),"",SUMPRODUCT(MIN(IF(RawData[[#This Row],[Date]]=A59,RawData[Time]))))</f>
        <v/>
      </c>
      <c r="E59" s="10" t="str">
        <f>IF(OR(A59="",C59=0),"",SUMPRODUCT(MAX(IF(RawData[[#This Row],[Date]]=A59,RawData[Time]))))</f>
        <v/>
      </c>
    </row>
    <row r="60" spans="1:5" x14ac:dyDescent="0.25">
      <c r="A60" s="7" t="str">
        <f>IF('Heatmap Day x Time'!A60="","",'Heatmap Day x Time'!A60)</f>
        <v/>
      </c>
      <c r="B60" s="4" t="str">
        <f t="shared" si="1"/>
        <v/>
      </c>
      <c r="C60" s="4" t="str">
        <f>IF(A60="","",COUNTIF(RawData[Date],A60))</f>
        <v/>
      </c>
      <c r="D60" s="10" t="str">
        <f>IF(OR(A60="",C60=0),"",SUMPRODUCT(MIN(IF(RawData[[#This Row],[Date]]=A60,RawData[Time]))))</f>
        <v/>
      </c>
      <c r="E60" s="10" t="str">
        <f>IF(OR(A60="",C60=0),"",SUMPRODUCT(MAX(IF(RawData[[#This Row],[Date]]=A60,RawData[Time]))))</f>
        <v/>
      </c>
    </row>
    <row r="61" spans="1:5" x14ac:dyDescent="0.25">
      <c r="A61" s="7" t="str">
        <f>IF('Heatmap Day x Time'!A61="","",'Heatmap Day x Time'!A61)</f>
        <v/>
      </c>
      <c r="B61" s="4" t="str">
        <f t="shared" si="1"/>
        <v/>
      </c>
      <c r="C61" s="4" t="str">
        <f>IF(A61="","",COUNTIF(RawData[Date],A61))</f>
        <v/>
      </c>
      <c r="D61" s="10" t="str">
        <f>IF(OR(A61="",C61=0),"",SUMPRODUCT(MIN(IF(RawData[[#This Row],[Date]]=A61,RawData[Time]))))</f>
        <v/>
      </c>
      <c r="E61" s="10" t="str">
        <f>IF(OR(A61="",C61=0),"",SUMPRODUCT(MAX(IF(RawData[[#This Row],[Date]]=A61,RawData[Time]))))</f>
        <v/>
      </c>
    </row>
    <row r="62" spans="1:5" x14ac:dyDescent="0.25">
      <c r="A62" s="7" t="str">
        <f>IF('Heatmap Day x Time'!A62="","",'Heatmap Day x Time'!A62)</f>
        <v/>
      </c>
      <c r="B62" s="4" t="str">
        <f t="shared" si="1"/>
        <v/>
      </c>
      <c r="C62" s="4" t="str">
        <f>IF(A62="","",COUNTIF(RawData[Date],A62))</f>
        <v/>
      </c>
      <c r="D62" s="10" t="str">
        <f>IF(OR(A62="",C62=0),"",SUMPRODUCT(MIN(IF(RawData[[#This Row],[Date]]=A62,RawData[Time]))))</f>
        <v/>
      </c>
      <c r="E62" s="10" t="str">
        <f>IF(OR(A62="",C62=0),"",SUMPRODUCT(MAX(IF(RawData[[#This Row],[Date]]=A62,RawData[Time]))))</f>
        <v/>
      </c>
    </row>
    <row r="63" spans="1:5" x14ac:dyDescent="0.25">
      <c r="A63" s="7" t="str">
        <f>IF('Heatmap Day x Time'!A63="","",'Heatmap Day x Time'!A63)</f>
        <v/>
      </c>
      <c r="B63" s="4" t="str">
        <f t="shared" si="1"/>
        <v/>
      </c>
      <c r="C63" s="4" t="str">
        <f>IF(A63="","",COUNTIF(RawData[Date],A63))</f>
        <v/>
      </c>
      <c r="D63" s="10" t="str">
        <f>IF(OR(A63="",C63=0),"",SUMPRODUCT(MIN(IF(RawData[[#This Row],[Date]]=A63,RawData[Time]))))</f>
        <v/>
      </c>
      <c r="E63" s="10" t="str">
        <f>IF(OR(A63="",C63=0),"",SUMPRODUCT(MAX(IF(RawData[[#This Row],[Date]]=A63,RawData[Time]))))</f>
        <v/>
      </c>
    </row>
    <row r="64" spans="1:5" x14ac:dyDescent="0.25">
      <c r="A64" s="7" t="str">
        <f>IF('Heatmap Day x Time'!A64="","",'Heatmap Day x Time'!A64)</f>
        <v/>
      </c>
      <c r="B64" s="4" t="str">
        <f t="shared" si="1"/>
        <v/>
      </c>
      <c r="C64" s="4" t="str">
        <f>IF(A64="","",COUNTIF(RawData[Date],A64))</f>
        <v/>
      </c>
      <c r="D64" s="10" t="str">
        <f>IF(OR(A64="",C64=0),"",SUMPRODUCT(MIN(IF(RawData[[#This Row],[Date]]=A64,RawData[Time]))))</f>
        <v/>
      </c>
      <c r="E64" s="10" t="str">
        <f>IF(OR(A64="",C64=0),"",SUMPRODUCT(MAX(IF(RawData[[#This Row],[Date]]=A64,RawData[Time]))))</f>
        <v/>
      </c>
    </row>
    <row r="65" spans="1:5" x14ac:dyDescent="0.25">
      <c r="A65" s="7" t="str">
        <f>IF('Heatmap Day x Time'!A65="","",'Heatmap Day x Time'!A65)</f>
        <v/>
      </c>
      <c r="B65" s="4" t="str">
        <f t="shared" si="1"/>
        <v/>
      </c>
      <c r="C65" s="4" t="str">
        <f>IF(A65="","",COUNTIF(RawData[Date],A65))</f>
        <v/>
      </c>
      <c r="D65" s="10" t="str">
        <f>IF(OR(A65="",C65=0),"",SUMPRODUCT(MIN(IF(RawData[[#This Row],[Date]]=A65,RawData[Time]))))</f>
        <v/>
      </c>
      <c r="E65" s="10" t="str">
        <f>IF(OR(A65="",C65=0),"",SUMPRODUCT(MAX(IF(RawData[[#This Row],[Date]]=A65,RawData[Time]))))</f>
        <v/>
      </c>
    </row>
    <row r="66" spans="1:5" x14ac:dyDescent="0.25">
      <c r="A66" s="7" t="str">
        <f>IF('Heatmap Day x Time'!A66="","",'Heatmap Day x Time'!A66)</f>
        <v/>
      </c>
      <c r="B66" s="4" t="str">
        <f t="shared" si="1"/>
        <v/>
      </c>
      <c r="C66" s="4" t="str">
        <f>IF(A66="","",COUNTIF(RawData[Date],A66))</f>
        <v/>
      </c>
      <c r="D66" s="10" t="str">
        <f>IF(OR(A66="",C66=0),"",SUMPRODUCT(MIN(IF(RawData[[#This Row],[Date]]=A66,RawData[Time]))))</f>
        <v/>
      </c>
      <c r="E66" s="10" t="str">
        <f>IF(OR(A66="",C66=0),"",SUMPRODUCT(MAX(IF(RawData[[#This Row],[Date]]=A66,RawData[Time]))))</f>
        <v/>
      </c>
    </row>
    <row r="67" spans="1:5" x14ac:dyDescent="0.25">
      <c r="A67" s="7" t="str">
        <f>IF('Heatmap Day x Time'!A67="","",'Heatmap Day x Time'!A67)</f>
        <v/>
      </c>
      <c r="B67" s="4" t="str">
        <f t="shared" si="1"/>
        <v/>
      </c>
      <c r="C67" s="4" t="str">
        <f>IF(A67="","",COUNTIF(RawData[Date],A67))</f>
        <v/>
      </c>
      <c r="D67" s="10" t="str">
        <f>IF(OR(A67="",C67=0),"",SUMPRODUCT(MIN(IF(RawData[[#This Row],[Date]]=A67,RawData[Time]))))</f>
        <v/>
      </c>
      <c r="E67" s="10" t="str">
        <f>IF(OR(A67="",C67=0),"",SUMPRODUCT(MAX(IF(RawData[[#This Row],[Date]]=A67,RawData[Time]))))</f>
        <v/>
      </c>
    </row>
    <row r="68" spans="1:5" x14ac:dyDescent="0.25">
      <c r="A68" s="7" t="str">
        <f>IF('Heatmap Day x Time'!A68="","",'Heatmap Day x Time'!A68)</f>
        <v/>
      </c>
      <c r="B68" s="4" t="str">
        <f t="shared" si="1"/>
        <v/>
      </c>
      <c r="C68" s="4" t="str">
        <f>IF(A68="","",COUNTIF(RawData[Date],A68))</f>
        <v/>
      </c>
      <c r="D68" s="10" t="str">
        <f>IF(OR(A68="",C68=0),"",SUMPRODUCT(MIN(IF(RawData[[#This Row],[Date]]=A68,RawData[Time]))))</f>
        <v/>
      </c>
      <c r="E68" s="10" t="str">
        <f>IF(OR(A68="",C68=0),"",SUMPRODUCT(MAX(IF(RawData[[#This Row],[Date]]=A68,RawData[Time]))))</f>
        <v/>
      </c>
    </row>
    <row r="69" spans="1:5" x14ac:dyDescent="0.25">
      <c r="A69" s="7" t="str">
        <f>IF('Heatmap Day x Time'!A69="","",'Heatmap Day x Time'!A69)</f>
        <v/>
      </c>
      <c r="B69" s="4" t="str">
        <f t="shared" ref="B69:B100" si="2">IF(A69="","",CHOOSE(WEEKDAY(A69,2),"Monday","Tuesday","Wednesday","Thursday","Friday","Saturday","Sunday"))</f>
        <v/>
      </c>
      <c r="C69" s="4" t="str">
        <f>IF(A69="","",COUNTIF(RawData[Date],A69))</f>
        <v/>
      </c>
      <c r="D69" s="10" t="str">
        <f>IF(OR(A69="",C69=0),"",SUMPRODUCT(MIN(IF(RawData[[#This Row],[Date]]=A69,RawData[Time]))))</f>
        <v/>
      </c>
      <c r="E69" s="10" t="str">
        <f>IF(OR(A69="",C69=0),"",SUMPRODUCT(MAX(IF(RawData[[#This Row],[Date]]=A69,RawData[Time]))))</f>
        <v/>
      </c>
    </row>
    <row r="70" spans="1:5" x14ac:dyDescent="0.25">
      <c r="A70" s="7" t="str">
        <f>IF('Heatmap Day x Time'!A70="","",'Heatmap Day x Time'!A70)</f>
        <v/>
      </c>
      <c r="B70" s="4" t="str">
        <f t="shared" si="2"/>
        <v/>
      </c>
      <c r="C70" s="4" t="str">
        <f>IF(A70="","",COUNTIF(RawData[Date],A70))</f>
        <v/>
      </c>
      <c r="D70" s="10" t="str">
        <f>IF(OR(A70="",C70=0),"",SUMPRODUCT(MIN(IF(RawData[[#This Row],[Date]]=A70,RawData[Time]))))</f>
        <v/>
      </c>
      <c r="E70" s="10" t="str">
        <f>IF(OR(A70="",C70=0),"",SUMPRODUCT(MAX(IF(RawData[[#This Row],[Date]]=A70,RawData[Time]))))</f>
        <v/>
      </c>
    </row>
    <row r="71" spans="1:5" x14ac:dyDescent="0.25">
      <c r="A71" s="7" t="str">
        <f>IF('Heatmap Day x Time'!A71="","",'Heatmap Day x Time'!A71)</f>
        <v/>
      </c>
      <c r="B71" s="4" t="str">
        <f t="shared" si="2"/>
        <v/>
      </c>
      <c r="C71" s="4" t="str">
        <f>IF(A71="","",COUNTIF(RawData[Date],A71))</f>
        <v/>
      </c>
      <c r="D71" s="10" t="str">
        <f>IF(OR(A71="",C71=0),"",SUMPRODUCT(MIN(IF(RawData[[#This Row],[Date]]=A71,RawData[Time]))))</f>
        <v/>
      </c>
      <c r="E71" s="10" t="str">
        <f>IF(OR(A71="",C71=0),"",SUMPRODUCT(MAX(IF(RawData[[#This Row],[Date]]=A71,RawData[Time]))))</f>
        <v/>
      </c>
    </row>
    <row r="72" spans="1:5" x14ac:dyDescent="0.25">
      <c r="A72" s="7" t="str">
        <f>IF('Heatmap Day x Time'!A72="","",'Heatmap Day x Time'!A72)</f>
        <v/>
      </c>
      <c r="B72" s="4" t="str">
        <f t="shared" si="2"/>
        <v/>
      </c>
      <c r="C72" s="4" t="str">
        <f>IF(A72="","",COUNTIF(RawData[Date],A72))</f>
        <v/>
      </c>
      <c r="D72" s="10" t="str">
        <f>IF(OR(A72="",C72=0),"",SUMPRODUCT(MIN(IF(RawData[[#This Row],[Date]]=A72,RawData[Time]))))</f>
        <v/>
      </c>
      <c r="E72" s="10" t="str">
        <f>IF(OR(A72="",C72=0),"",SUMPRODUCT(MAX(IF(RawData[[#This Row],[Date]]=A72,RawData[Time]))))</f>
        <v/>
      </c>
    </row>
    <row r="73" spans="1:5" x14ac:dyDescent="0.25">
      <c r="A73" s="7" t="str">
        <f>IF('Heatmap Day x Time'!A73="","",'Heatmap Day x Time'!A73)</f>
        <v/>
      </c>
      <c r="B73" s="4" t="str">
        <f t="shared" si="2"/>
        <v/>
      </c>
      <c r="C73" s="4" t="str">
        <f>IF(A73="","",COUNTIF(RawData[Date],A73))</f>
        <v/>
      </c>
      <c r="D73" s="10" t="str">
        <f>IF(OR(A73="",C73=0),"",SUMPRODUCT(MIN(IF(RawData[[#This Row],[Date]]=A73,RawData[Time]))))</f>
        <v/>
      </c>
      <c r="E73" s="10" t="str">
        <f>IF(OR(A73="",C73=0),"",SUMPRODUCT(MAX(IF(RawData[[#This Row],[Date]]=A73,RawData[Time]))))</f>
        <v/>
      </c>
    </row>
    <row r="74" spans="1:5" x14ac:dyDescent="0.25">
      <c r="A74" s="7" t="str">
        <f>IF('Heatmap Day x Time'!A74="","",'Heatmap Day x Time'!A74)</f>
        <v/>
      </c>
      <c r="B74" s="4" t="str">
        <f t="shared" si="2"/>
        <v/>
      </c>
      <c r="C74" s="4" t="str">
        <f>IF(A74="","",COUNTIF(RawData[Date],A74))</f>
        <v/>
      </c>
      <c r="D74" s="10" t="str">
        <f>IF(OR(A74="",C74=0),"",SUMPRODUCT(MIN(IF(RawData[[#This Row],[Date]]=A74,RawData[Time]))))</f>
        <v/>
      </c>
      <c r="E74" s="10" t="str">
        <f>IF(OR(A74="",C74=0),"",SUMPRODUCT(MAX(IF(RawData[[#This Row],[Date]]=A74,RawData[Time]))))</f>
        <v/>
      </c>
    </row>
    <row r="75" spans="1:5" x14ac:dyDescent="0.25">
      <c r="A75" s="7" t="str">
        <f>IF('Heatmap Day x Time'!A75="","",'Heatmap Day x Time'!A75)</f>
        <v/>
      </c>
      <c r="B75" s="4" t="str">
        <f t="shared" si="2"/>
        <v/>
      </c>
      <c r="C75" s="4" t="str">
        <f>IF(A75="","",COUNTIF(RawData[Date],A75))</f>
        <v/>
      </c>
      <c r="D75" s="10" t="str">
        <f>IF(OR(A75="",C75=0),"",SUMPRODUCT(MIN(IF(RawData[[#This Row],[Date]]=A75,RawData[Time]))))</f>
        <v/>
      </c>
      <c r="E75" s="10" t="str">
        <f>IF(OR(A75="",C75=0),"",SUMPRODUCT(MAX(IF(RawData[[#This Row],[Date]]=A75,RawData[Time]))))</f>
        <v/>
      </c>
    </row>
    <row r="76" spans="1:5" x14ac:dyDescent="0.25">
      <c r="A76" s="7" t="str">
        <f>IF('Heatmap Day x Time'!A76="","",'Heatmap Day x Time'!A76)</f>
        <v/>
      </c>
      <c r="B76" s="4" t="str">
        <f t="shared" si="2"/>
        <v/>
      </c>
      <c r="C76" s="4" t="str">
        <f>IF(A76="","",COUNTIF(RawData[Date],A76))</f>
        <v/>
      </c>
      <c r="D76" s="10" t="str">
        <f>IF(OR(A76="",C76=0),"",SUMPRODUCT(MIN(IF(RawData[[#This Row],[Date]]=A76,RawData[Time]))))</f>
        <v/>
      </c>
      <c r="E76" s="10" t="str">
        <f>IF(OR(A76="",C76=0),"",SUMPRODUCT(MAX(IF(RawData[[#This Row],[Date]]=A76,RawData[Time]))))</f>
        <v/>
      </c>
    </row>
    <row r="77" spans="1:5" x14ac:dyDescent="0.25">
      <c r="A77" s="7" t="str">
        <f>IF('Heatmap Day x Time'!A77="","",'Heatmap Day x Time'!A77)</f>
        <v/>
      </c>
      <c r="B77" s="4" t="str">
        <f t="shared" si="2"/>
        <v/>
      </c>
      <c r="C77" s="4" t="str">
        <f>IF(A77="","",COUNTIF(RawData[Date],A77))</f>
        <v/>
      </c>
      <c r="D77" s="10" t="str">
        <f>IF(OR(A77="",C77=0),"",SUMPRODUCT(MIN(IF(RawData[[#This Row],[Date]]=A77,RawData[Time]))))</f>
        <v/>
      </c>
      <c r="E77" s="10" t="str">
        <f>IF(OR(A77="",C77=0),"",SUMPRODUCT(MAX(IF(RawData[[#This Row],[Date]]=A77,RawData[Time]))))</f>
        <v/>
      </c>
    </row>
    <row r="78" spans="1:5" x14ac:dyDescent="0.25">
      <c r="A78" s="7" t="str">
        <f>IF('Heatmap Day x Time'!A78="","",'Heatmap Day x Time'!A78)</f>
        <v/>
      </c>
      <c r="B78" s="4" t="str">
        <f t="shared" si="2"/>
        <v/>
      </c>
      <c r="C78" s="4" t="str">
        <f>IF(A78="","",COUNTIF(RawData[Date],A78))</f>
        <v/>
      </c>
      <c r="D78" s="10" t="str">
        <f>IF(OR(A78="",C78=0),"",SUMPRODUCT(MIN(IF(RawData[[#This Row],[Date]]=A78,RawData[Time]))))</f>
        <v/>
      </c>
      <c r="E78" s="10" t="str">
        <f>IF(OR(A78="",C78=0),"",SUMPRODUCT(MAX(IF(RawData[[#This Row],[Date]]=A78,RawData[Time]))))</f>
        <v/>
      </c>
    </row>
    <row r="79" spans="1:5" x14ac:dyDescent="0.25">
      <c r="A79" s="7" t="str">
        <f>IF('Heatmap Day x Time'!A79="","",'Heatmap Day x Time'!A79)</f>
        <v/>
      </c>
      <c r="B79" s="4" t="str">
        <f t="shared" si="2"/>
        <v/>
      </c>
      <c r="C79" s="4" t="str">
        <f>IF(A79="","",COUNTIF(RawData[Date],A79))</f>
        <v/>
      </c>
      <c r="D79" s="10" t="str">
        <f>IF(OR(A79="",C79=0),"",SUMPRODUCT(MIN(IF(RawData[[#This Row],[Date]]=A79,RawData[Time]))))</f>
        <v/>
      </c>
      <c r="E79" s="10" t="str">
        <f>IF(OR(A79="",C79=0),"",SUMPRODUCT(MAX(IF(RawData[[#This Row],[Date]]=A79,RawData[Time]))))</f>
        <v/>
      </c>
    </row>
    <row r="80" spans="1:5" x14ac:dyDescent="0.25">
      <c r="A80" s="7" t="str">
        <f>IF('Heatmap Day x Time'!A80="","",'Heatmap Day x Time'!A80)</f>
        <v/>
      </c>
      <c r="B80" s="4" t="str">
        <f t="shared" si="2"/>
        <v/>
      </c>
      <c r="C80" s="4" t="str">
        <f>IF(A80="","",COUNTIF(RawData[Date],A80))</f>
        <v/>
      </c>
      <c r="D80" s="10" t="str">
        <f>IF(OR(A80="",C80=0),"",SUMPRODUCT(MIN(IF(RawData[[#This Row],[Date]]=A80,RawData[Time]))))</f>
        <v/>
      </c>
      <c r="E80" s="10" t="str">
        <f>IF(OR(A80="",C80=0),"",SUMPRODUCT(MAX(IF(RawData[[#This Row],[Date]]=A80,RawData[Time]))))</f>
        <v/>
      </c>
    </row>
    <row r="81" spans="1:5" x14ac:dyDescent="0.25">
      <c r="A81" s="7" t="str">
        <f>IF('Heatmap Day x Time'!A81="","",'Heatmap Day x Time'!A81)</f>
        <v/>
      </c>
      <c r="B81" s="4" t="str">
        <f t="shared" si="2"/>
        <v/>
      </c>
      <c r="C81" s="4" t="str">
        <f>IF(A81="","",COUNTIF(RawData[Date],A81))</f>
        <v/>
      </c>
      <c r="D81" s="10" t="str">
        <f>IF(OR(A81="",C81=0),"",SUMPRODUCT(MIN(IF(RawData[[#This Row],[Date]]=A81,RawData[Time]))))</f>
        <v/>
      </c>
      <c r="E81" s="10" t="str">
        <f>IF(OR(A81="",C81=0),"",SUMPRODUCT(MAX(IF(RawData[[#This Row],[Date]]=A81,RawData[Time]))))</f>
        <v/>
      </c>
    </row>
    <row r="82" spans="1:5" x14ac:dyDescent="0.25">
      <c r="A82" s="7" t="str">
        <f>IF('Heatmap Day x Time'!A82="","",'Heatmap Day x Time'!A82)</f>
        <v/>
      </c>
      <c r="B82" s="4" t="str">
        <f t="shared" si="2"/>
        <v/>
      </c>
      <c r="C82" s="4" t="str">
        <f>IF(A82="","",COUNTIF(RawData[Date],A82))</f>
        <v/>
      </c>
      <c r="D82" s="10" t="str">
        <f>IF(OR(A82="",C82=0),"",SUMPRODUCT(MIN(IF(RawData[[#This Row],[Date]]=A82,RawData[Time]))))</f>
        <v/>
      </c>
      <c r="E82" s="10" t="str">
        <f>IF(OR(A82="",C82=0),"",SUMPRODUCT(MAX(IF(RawData[[#This Row],[Date]]=A82,RawData[Time]))))</f>
        <v/>
      </c>
    </row>
    <row r="83" spans="1:5" x14ac:dyDescent="0.25">
      <c r="A83" s="7" t="str">
        <f>IF('Heatmap Day x Time'!A83="","",'Heatmap Day x Time'!A83)</f>
        <v/>
      </c>
      <c r="B83" s="4" t="str">
        <f t="shared" si="2"/>
        <v/>
      </c>
      <c r="C83" s="4" t="str">
        <f>IF(A83="","",COUNTIF(RawData[Date],A83))</f>
        <v/>
      </c>
      <c r="D83" s="10" t="str">
        <f>IF(OR(A83="",C83=0),"",SUMPRODUCT(MIN(IF(RawData[[#This Row],[Date]]=A83,RawData[Time]))))</f>
        <v/>
      </c>
      <c r="E83" s="10" t="str">
        <f>IF(OR(A83="",C83=0),"",SUMPRODUCT(MAX(IF(RawData[[#This Row],[Date]]=A83,RawData[Time]))))</f>
        <v/>
      </c>
    </row>
    <row r="84" spans="1:5" x14ac:dyDescent="0.25">
      <c r="A84" s="7" t="str">
        <f>IF('Heatmap Day x Time'!A84="","",'Heatmap Day x Time'!A84)</f>
        <v/>
      </c>
      <c r="B84" s="4" t="str">
        <f t="shared" si="2"/>
        <v/>
      </c>
      <c r="C84" s="4" t="str">
        <f>IF(A84="","",COUNTIF(RawData[Date],A84))</f>
        <v/>
      </c>
      <c r="D84" s="10" t="str">
        <f>IF(OR(A84="",C84=0),"",SUMPRODUCT(MIN(IF(RawData[[#This Row],[Date]]=A84,RawData[Time]))))</f>
        <v/>
      </c>
      <c r="E84" s="10" t="str">
        <f>IF(OR(A84="",C84=0),"",SUMPRODUCT(MAX(IF(RawData[[#This Row],[Date]]=A84,RawData[Time]))))</f>
        <v/>
      </c>
    </row>
    <row r="85" spans="1:5" x14ac:dyDescent="0.25">
      <c r="A85" s="7" t="str">
        <f>IF('Heatmap Day x Time'!A85="","",'Heatmap Day x Time'!A85)</f>
        <v/>
      </c>
      <c r="B85" s="4" t="str">
        <f t="shared" si="2"/>
        <v/>
      </c>
      <c r="C85" s="4" t="str">
        <f>IF(A85="","",COUNTIF(RawData[Date],A85))</f>
        <v/>
      </c>
      <c r="D85" s="10" t="str">
        <f>IF(OR(A85="",C85=0),"",SUMPRODUCT(MIN(IF(RawData[[#This Row],[Date]]=A85,RawData[Time]))))</f>
        <v/>
      </c>
      <c r="E85" s="10" t="str">
        <f>IF(OR(A85="",C85=0),"",SUMPRODUCT(MAX(IF(RawData[[#This Row],[Date]]=A85,RawData[Time]))))</f>
        <v/>
      </c>
    </row>
    <row r="86" spans="1:5" x14ac:dyDescent="0.25">
      <c r="A86" s="7" t="str">
        <f>IF('Heatmap Day x Time'!A86="","",'Heatmap Day x Time'!A86)</f>
        <v/>
      </c>
      <c r="B86" s="4" t="str">
        <f t="shared" si="2"/>
        <v/>
      </c>
      <c r="C86" s="4" t="str">
        <f>IF(A86="","",COUNTIF(RawData[Date],A86))</f>
        <v/>
      </c>
      <c r="D86" s="10" t="str">
        <f>IF(OR(A86="",C86=0),"",SUMPRODUCT(MIN(IF(RawData[[#This Row],[Date]]=A86,RawData[Time]))))</f>
        <v/>
      </c>
      <c r="E86" s="10" t="str">
        <f>IF(OR(A86="",C86=0),"",SUMPRODUCT(MAX(IF(RawData[[#This Row],[Date]]=A86,RawData[Time]))))</f>
        <v/>
      </c>
    </row>
    <row r="87" spans="1:5" x14ac:dyDescent="0.25">
      <c r="A87" s="7" t="str">
        <f>IF('Heatmap Day x Time'!A87="","",'Heatmap Day x Time'!A87)</f>
        <v/>
      </c>
      <c r="B87" s="4" t="str">
        <f t="shared" si="2"/>
        <v/>
      </c>
      <c r="C87" s="4" t="str">
        <f>IF(A87="","",COUNTIF(RawData[Date],A87))</f>
        <v/>
      </c>
      <c r="D87" s="10" t="str">
        <f>IF(OR(A87="",C87=0),"",SUMPRODUCT(MIN(IF(RawData[[#This Row],[Date]]=A87,RawData[Time]))))</f>
        <v/>
      </c>
      <c r="E87" s="10" t="str">
        <f>IF(OR(A87="",C87=0),"",SUMPRODUCT(MAX(IF(RawData[[#This Row],[Date]]=A87,RawData[Time]))))</f>
        <v/>
      </c>
    </row>
    <row r="88" spans="1:5" x14ac:dyDescent="0.25">
      <c r="A88" s="7" t="str">
        <f>IF('Heatmap Day x Time'!A88="","",'Heatmap Day x Time'!A88)</f>
        <v/>
      </c>
      <c r="B88" s="4" t="str">
        <f t="shared" si="2"/>
        <v/>
      </c>
      <c r="C88" s="4" t="str">
        <f>IF(A88="","",COUNTIF(RawData[Date],A88))</f>
        <v/>
      </c>
      <c r="D88" s="10" t="str">
        <f>IF(OR(A88="",C88=0),"",SUMPRODUCT(MIN(IF(RawData[[#This Row],[Date]]=A88,RawData[Time]))))</f>
        <v/>
      </c>
      <c r="E88" s="10" t="str">
        <f>IF(OR(A88="",C88=0),"",SUMPRODUCT(MAX(IF(RawData[[#This Row],[Date]]=A88,RawData[Time]))))</f>
        <v/>
      </c>
    </row>
    <row r="89" spans="1:5" x14ac:dyDescent="0.25">
      <c r="A89" s="7" t="str">
        <f>IF('Heatmap Day x Time'!A89="","",'Heatmap Day x Time'!A89)</f>
        <v/>
      </c>
      <c r="B89" s="4" t="str">
        <f t="shared" si="2"/>
        <v/>
      </c>
      <c r="C89" s="4" t="str">
        <f>IF(A89="","",COUNTIF(RawData[Date],A89))</f>
        <v/>
      </c>
      <c r="D89" s="10" t="str">
        <f>IF(OR(A89="",C89=0),"",SUMPRODUCT(MIN(IF(RawData[[#This Row],[Date]]=A89,RawData[Time]))))</f>
        <v/>
      </c>
      <c r="E89" s="10" t="str">
        <f>IF(OR(A89="",C89=0),"",SUMPRODUCT(MAX(IF(RawData[[#This Row],[Date]]=A89,RawData[Time]))))</f>
        <v/>
      </c>
    </row>
    <row r="90" spans="1:5" x14ac:dyDescent="0.25">
      <c r="A90" s="7" t="str">
        <f>IF('Heatmap Day x Time'!A90="","",'Heatmap Day x Time'!A90)</f>
        <v/>
      </c>
      <c r="B90" s="4" t="str">
        <f t="shared" si="2"/>
        <v/>
      </c>
      <c r="C90" s="4" t="str">
        <f>IF(A90="","",COUNTIF(RawData[Date],A90))</f>
        <v/>
      </c>
      <c r="D90" s="10" t="str">
        <f>IF(OR(A90="",C90=0),"",SUMPRODUCT(MIN(IF(RawData[[#This Row],[Date]]=A90,RawData[Time]))))</f>
        <v/>
      </c>
      <c r="E90" s="10" t="str">
        <f>IF(OR(A90="",C90=0),"",SUMPRODUCT(MAX(IF(RawData[[#This Row],[Date]]=A90,RawData[Time]))))</f>
        <v/>
      </c>
    </row>
    <row r="91" spans="1:5" x14ac:dyDescent="0.25">
      <c r="A91" s="4"/>
      <c r="B91" s="4"/>
      <c r="C91" s="4"/>
      <c r="D91" s="4"/>
      <c r="E91" s="4"/>
    </row>
    <row r="92" spans="1:5" x14ac:dyDescent="0.25">
      <c r="A92" s="8" t="s">
        <v>88</v>
      </c>
      <c r="B92" s="9"/>
      <c r="C92" s="8">
        <f>SUM(C5:C90)</f>
        <v>26</v>
      </c>
      <c r="D92" s="9"/>
      <c r="E9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zoomScaleNormal="100" workbookViewId="0">
      <pane ySplit="3" topLeftCell="A28" activePane="bottomLeft" state="frozen"/>
      <selection pane="bottomLeft" activeCell="V17" sqref="V17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3" width="10" customWidth="1"/>
  </cols>
  <sheetData>
    <row r="1" spans="1:3" ht="18" x14ac:dyDescent="0.25">
      <c r="A1" s="1" t="s">
        <v>89</v>
      </c>
      <c r="B1" s="4"/>
      <c r="C1" s="4"/>
    </row>
    <row r="2" spans="1:3" x14ac:dyDescent="0.25">
      <c r="A2" s="4"/>
      <c r="B2" s="4"/>
      <c r="C2" s="4"/>
    </row>
    <row r="3" spans="1:3" x14ac:dyDescent="0.25">
      <c r="A3" s="6" t="s">
        <v>90</v>
      </c>
      <c r="B3" s="6" t="s">
        <v>91</v>
      </c>
      <c r="C3" s="6" t="s">
        <v>92</v>
      </c>
    </row>
    <row r="4" spans="1:3" x14ac:dyDescent="0.25">
      <c r="A4" s="4" t="s">
        <v>93</v>
      </c>
      <c r="B4" s="4">
        <f>COUNTIF(RawData[Slot],0)</f>
        <v>0</v>
      </c>
      <c r="C4" s="11">
        <f t="shared" ref="C4:C51" si="0">IFERROR(B4/SUM($B$4:$B$51),0)</f>
        <v>0</v>
      </c>
    </row>
    <row r="5" spans="1:3" x14ac:dyDescent="0.25">
      <c r="A5" s="4" t="s">
        <v>94</v>
      </c>
      <c r="B5" s="4">
        <f>COUNTIF(RawData[Slot],1)</f>
        <v>0</v>
      </c>
      <c r="C5" s="11">
        <f t="shared" si="0"/>
        <v>0</v>
      </c>
    </row>
    <row r="6" spans="1:3" x14ac:dyDescent="0.25">
      <c r="A6" s="4" t="s">
        <v>95</v>
      </c>
      <c r="B6" s="4">
        <f>COUNTIF(RawData[Slot],2)</f>
        <v>0</v>
      </c>
      <c r="C6" s="11">
        <f t="shared" si="0"/>
        <v>0</v>
      </c>
    </row>
    <row r="7" spans="1:3" x14ac:dyDescent="0.25">
      <c r="A7" s="4" t="s">
        <v>96</v>
      </c>
      <c r="B7" s="4">
        <f>COUNTIF(RawData[Slot],3)</f>
        <v>0</v>
      </c>
      <c r="C7" s="11">
        <f t="shared" si="0"/>
        <v>0</v>
      </c>
    </row>
    <row r="8" spans="1:3" x14ac:dyDescent="0.25">
      <c r="A8" s="4" t="s">
        <v>97</v>
      </c>
      <c r="B8" s="4">
        <f>COUNTIF(RawData[Slot],4)</f>
        <v>0</v>
      </c>
      <c r="C8" s="11">
        <f t="shared" si="0"/>
        <v>0</v>
      </c>
    </row>
    <row r="9" spans="1:3" x14ac:dyDescent="0.25">
      <c r="A9" s="4" t="s">
        <v>98</v>
      </c>
      <c r="B9" s="4">
        <f>COUNTIF(RawData[Slot],5)</f>
        <v>0</v>
      </c>
      <c r="C9" s="11">
        <f t="shared" si="0"/>
        <v>0</v>
      </c>
    </row>
    <row r="10" spans="1:3" x14ac:dyDescent="0.25">
      <c r="A10" s="4" t="s">
        <v>99</v>
      </c>
      <c r="B10" s="4">
        <f>COUNTIF(RawData[Slot],6)</f>
        <v>0</v>
      </c>
      <c r="C10" s="11">
        <f t="shared" si="0"/>
        <v>0</v>
      </c>
    </row>
    <row r="11" spans="1:3" x14ac:dyDescent="0.25">
      <c r="A11" s="4" t="s">
        <v>100</v>
      </c>
      <c r="B11" s="4">
        <f>COUNTIF(RawData[Slot],7)</f>
        <v>0</v>
      </c>
      <c r="C11" s="11">
        <f t="shared" si="0"/>
        <v>0</v>
      </c>
    </row>
    <row r="12" spans="1:3" x14ac:dyDescent="0.25">
      <c r="A12" s="4" t="s">
        <v>101</v>
      </c>
      <c r="B12" s="4">
        <f>COUNTIF(RawData[Slot],8)</f>
        <v>0</v>
      </c>
      <c r="C12" s="11">
        <f t="shared" si="0"/>
        <v>0</v>
      </c>
    </row>
    <row r="13" spans="1:3" x14ac:dyDescent="0.25">
      <c r="A13" s="4" t="s">
        <v>102</v>
      </c>
      <c r="B13" s="4">
        <f>COUNTIF(RawData[Slot],9)</f>
        <v>0</v>
      </c>
      <c r="C13" s="11">
        <f t="shared" si="0"/>
        <v>0</v>
      </c>
    </row>
    <row r="14" spans="1:3" x14ac:dyDescent="0.25">
      <c r="A14" s="4" t="s">
        <v>103</v>
      </c>
      <c r="B14" s="4">
        <f>COUNTIF(RawData[Slot],10)</f>
        <v>0</v>
      </c>
      <c r="C14" s="11">
        <f t="shared" si="0"/>
        <v>0</v>
      </c>
    </row>
    <row r="15" spans="1:3" x14ac:dyDescent="0.25">
      <c r="A15" s="4" t="s">
        <v>104</v>
      </c>
      <c r="B15" s="4">
        <f>COUNTIF(RawData[Slot],11)</f>
        <v>0</v>
      </c>
      <c r="C15" s="11">
        <f t="shared" si="0"/>
        <v>0</v>
      </c>
    </row>
    <row r="16" spans="1:3" x14ac:dyDescent="0.25">
      <c r="A16" s="4" t="s">
        <v>105</v>
      </c>
      <c r="B16" s="4">
        <f>COUNTIF(RawData[Slot],12)</f>
        <v>0</v>
      </c>
      <c r="C16" s="11">
        <f t="shared" si="0"/>
        <v>0</v>
      </c>
    </row>
    <row r="17" spans="1:3" x14ac:dyDescent="0.25">
      <c r="A17" s="4" t="s">
        <v>106</v>
      </c>
      <c r="B17" s="4">
        <f>COUNTIF(RawData[Slot],13)</f>
        <v>0</v>
      </c>
      <c r="C17" s="11">
        <f t="shared" si="0"/>
        <v>0</v>
      </c>
    </row>
    <row r="18" spans="1:3" x14ac:dyDescent="0.25">
      <c r="A18" s="4" t="s">
        <v>107</v>
      </c>
      <c r="B18" s="4">
        <f>COUNTIF(RawData[Slot],14)</f>
        <v>0</v>
      </c>
      <c r="C18" s="11">
        <f t="shared" si="0"/>
        <v>0</v>
      </c>
    </row>
    <row r="19" spans="1:3" x14ac:dyDescent="0.25">
      <c r="A19" s="4" t="s">
        <v>108</v>
      </c>
      <c r="B19" s="4">
        <f>COUNTIF(RawData[Slot],15)</f>
        <v>0</v>
      </c>
      <c r="C19" s="11">
        <f t="shared" si="0"/>
        <v>0</v>
      </c>
    </row>
    <row r="20" spans="1:3" x14ac:dyDescent="0.25">
      <c r="A20" s="4" t="s">
        <v>109</v>
      </c>
      <c r="B20" s="4">
        <f>COUNTIF(RawData[Slot],16)</f>
        <v>0</v>
      </c>
      <c r="C20" s="11">
        <f t="shared" si="0"/>
        <v>0</v>
      </c>
    </row>
    <row r="21" spans="1:3" x14ac:dyDescent="0.25">
      <c r="A21" s="4" t="s">
        <v>110</v>
      </c>
      <c r="B21" s="4">
        <f>COUNTIF(RawData[Slot],17)</f>
        <v>0</v>
      </c>
      <c r="C21" s="11">
        <f t="shared" si="0"/>
        <v>0</v>
      </c>
    </row>
    <row r="22" spans="1:3" x14ac:dyDescent="0.25">
      <c r="A22" s="4" t="s">
        <v>111</v>
      </c>
      <c r="B22" s="4">
        <f>COUNTIF(RawData[Slot],18)</f>
        <v>0</v>
      </c>
      <c r="C22" s="11">
        <f t="shared" si="0"/>
        <v>0</v>
      </c>
    </row>
    <row r="23" spans="1:3" x14ac:dyDescent="0.25">
      <c r="A23" s="4" t="s">
        <v>112</v>
      </c>
      <c r="B23" s="4">
        <f>COUNTIF(RawData[Slot],19)</f>
        <v>6</v>
      </c>
      <c r="C23" s="11">
        <f t="shared" si="0"/>
        <v>0.23076923076923078</v>
      </c>
    </row>
    <row r="24" spans="1:3" x14ac:dyDescent="0.25">
      <c r="A24" s="4" t="s">
        <v>113</v>
      </c>
      <c r="B24" s="4">
        <f>COUNTIF(RawData[Slot],20)</f>
        <v>3</v>
      </c>
      <c r="C24" s="11">
        <f t="shared" si="0"/>
        <v>0.11538461538461539</v>
      </c>
    </row>
    <row r="25" spans="1:3" x14ac:dyDescent="0.25">
      <c r="A25" s="4" t="s">
        <v>114</v>
      </c>
      <c r="B25" s="4">
        <f>COUNTIF(RawData[Slot],21)</f>
        <v>1</v>
      </c>
      <c r="C25" s="11">
        <f t="shared" si="0"/>
        <v>3.8461538461538464E-2</v>
      </c>
    </row>
    <row r="26" spans="1:3" x14ac:dyDescent="0.25">
      <c r="A26" s="4" t="s">
        <v>115</v>
      </c>
      <c r="B26" s="4">
        <f>COUNTIF(RawData[Slot],22)</f>
        <v>2</v>
      </c>
      <c r="C26" s="11">
        <f t="shared" si="0"/>
        <v>7.6923076923076927E-2</v>
      </c>
    </row>
    <row r="27" spans="1:3" x14ac:dyDescent="0.25">
      <c r="A27" s="4" t="s">
        <v>116</v>
      </c>
      <c r="B27" s="4">
        <f>COUNTIF(RawData[Slot],23)</f>
        <v>2</v>
      </c>
      <c r="C27" s="11">
        <f t="shared" si="0"/>
        <v>7.6923076923076927E-2</v>
      </c>
    </row>
    <row r="28" spans="1:3" x14ac:dyDescent="0.25">
      <c r="A28" s="4" t="s">
        <v>117</v>
      </c>
      <c r="B28" s="4">
        <f>COUNTIF(RawData[Slot],24)</f>
        <v>0</v>
      </c>
      <c r="C28" s="11">
        <f t="shared" si="0"/>
        <v>0</v>
      </c>
    </row>
    <row r="29" spans="1:3" x14ac:dyDescent="0.25">
      <c r="A29" s="4" t="s">
        <v>118</v>
      </c>
      <c r="B29" s="4">
        <f>COUNTIF(RawData[Slot],25)</f>
        <v>3</v>
      </c>
      <c r="C29" s="11">
        <f t="shared" si="0"/>
        <v>0.11538461538461539</v>
      </c>
    </row>
    <row r="30" spans="1:3" x14ac:dyDescent="0.25">
      <c r="A30" s="4" t="s">
        <v>119</v>
      </c>
      <c r="B30" s="4">
        <f>COUNTIF(RawData[Slot],26)</f>
        <v>1</v>
      </c>
      <c r="C30" s="11">
        <f t="shared" si="0"/>
        <v>3.8461538461538464E-2</v>
      </c>
    </row>
    <row r="31" spans="1:3" x14ac:dyDescent="0.25">
      <c r="A31" s="4" t="s">
        <v>120</v>
      </c>
      <c r="B31" s="4">
        <f>COUNTIF(RawData[Slot],27)</f>
        <v>0</v>
      </c>
      <c r="C31" s="11">
        <f t="shared" si="0"/>
        <v>0</v>
      </c>
    </row>
    <row r="32" spans="1:3" x14ac:dyDescent="0.25">
      <c r="A32" s="4" t="s">
        <v>121</v>
      </c>
      <c r="B32" s="4">
        <f>COUNTIF(RawData[Slot],28)</f>
        <v>0</v>
      </c>
      <c r="C32" s="11">
        <f t="shared" si="0"/>
        <v>0</v>
      </c>
    </row>
    <row r="33" spans="1:3" x14ac:dyDescent="0.25">
      <c r="A33" s="4" t="s">
        <v>122</v>
      </c>
      <c r="B33" s="4">
        <f>COUNTIF(RawData[Slot],29)</f>
        <v>0</v>
      </c>
      <c r="C33" s="11">
        <f t="shared" si="0"/>
        <v>0</v>
      </c>
    </row>
    <row r="34" spans="1:3" x14ac:dyDescent="0.25">
      <c r="A34" s="4" t="s">
        <v>123</v>
      </c>
      <c r="B34" s="4">
        <f>COUNTIF(RawData[Slot],30)</f>
        <v>0</v>
      </c>
      <c r="C34" s="11">
        <f t="shared" si="0"/>
        <v>0</v>
      </c>
    </row>
    <row r="35" spans="1:3" x14ac:dyDescent="0.25">
      <c r="A35" s="4" t="s">
        <v>124</v>
      </c>
      <c r="B35" s="4">
        <f>COUNTIF(RawData[Slot],31)</f>
        <v>5</v>
      </c>
      <c r="C35" s="11">
        <f t="shared" si="0"/>
        <v>0.19230769230769232</v>
      </c>
    </row>
    <row r="36" spans="1:3" x14ac:dyDescent="0.25">
      <c r="A36" s="4" t="s">
        <v>125</v>
      </c>
      <c r="B36" s="4">
        <f>COUNTIF(RawData[Slot],32)</f>
        <v>1</v>
      </c>
      <c r="C36" s="11">
        <f t="shared" si="0"/>
        <v>3.8461538461538464E-2</v>
      </c>
    </row>
    <row r="37" spans="1:3" x14ac:dyDescent="0.25">
      <c r="A37" s="4" t="s">
        <v>126</v>
      </c>
      <c r="B37" s="4">
        <f>COUNTIF(RawData[Slot],33)</f>
        <v>2</v>
      </c>
      <c r="C37" s="11">
        <f t="shared" si="0"/>
        <v>7.6923076923076927E-2</v>
      </c>
    </row>
    <row r="38" spans="1:3" x14ac:dyDescent="0.25">
      <c r="A38" s="4" t="s">
        <v>127</v>
      </c>
      <c r="B38" s="4">
        <f>COUNTIF(RawData[Slot],34)</f>
        <v>0</v>
      </c>
      <c r="C38" s="11">
        <f t="shared" si="0"/>
        <v>0</v>
      </c>
    </row>
    <row r="39" spans="1:3" x14ac:dyDescent="0.25">
      <c r="A39" s="4" t="s">
        <v>128</v>
      </c>
      <c r="B39" s="4">
        <f>COUNTIF(RawData[Slot],35)</f>
        <v>0</v>
      </c>
      <c r="C39" s="11">
        <f t="shared" si="0"/>
        <v>0</v>
      </c>
    </row>
    <row r="40" spans="1:3" x14ac:dyDescent="0.25">
      <c r="A40" s="4" t="s">
        <v>129</v>
      </c>
      <c r="B40" s="4">
        <f>COUNTIF(RawData[Slot],36)</f>
        <v>0</v>
      </c>
      <c r="C40" s="11">
        <f t="shared" si="0"/>
        <v>0</v>
      </c>
    </row>
    <row r="41" spans="1:3" x14ac:dyDescent="0.25">
      <c r="A41" s="4" t="s">
        <v>130</v>
      </c>
      <c r="B41" s="4">
        <f>COUNTIF(RawData[Slot],37)</f>
        <v>0</v>
      </c>
      <c r="C41" s="11">
        <f t="shared" si="0"/>
        <v>0</v>
      </c>
    </row>
    <row r="42" spans="1:3" x14ac:dyDescent="0.25">
      <c r="A42" s="4" t="s">
        <v>131</v>
      </c>
      <c r="B42" s="4">
        <f>COUNTIF(RawData[Slot],38)</f>
        <v>0</v>
      </c>
      <c r="C42" s="11">
        <f t="shared" si="0"/>
        <v>0</v>
      </c>
    </row>
    <row r="43" spans="1:3" x14ac:dyDescent="0.25">
      <c r="A43" s="4" t="s">
        <v>132</v>
      </c>
      <c r="B43" s="4">
        <f>COUNTIF(RawData[Slot],39)</f>
        <v>0</v>
      </c>
      <c r="C43" s="11">
        <f t="shared" si="0"/>
        <v>0</v>
      </c>
    </row>
    <row r="44" spans="1:3" x14ac:dyDescent="0.25">
      <c r="A44" s="4" t="s">
        <v>133</v>
      </c>
      <c r="B44" s="4">
        <f>COUNTIF(RawData[Slot],40)</f>
        <v>0</v>
      </c>
      <c r="C44" s="11">
        <f t="shared" si="0"/>
        <v>0</v>
      </c>
    </row>
    <row r="45" spans="1:3" x14ac:dyDescent="0.25">
      <c r="A45" s="4" t="s">
        <v>134</v>
      </c>
      <c r="B45" s="4">
        <f>COUNTIF(RawData[Slot],41)</f>
        <v>0</v>
      </c>
      <c r="C45" s="11">
        <f t="shared" si="0"/>
        <v>0</v>
      </c>
    </row>
    <row r="46" spans="1:3" x14ac:dyDescent="0.25">
      <c r="A46" s="4" t="s">
        <v>135</v>
      </c>
      <c r="B46" s="4">
        <f>COUNTIF(RawData[Slot],42)</f>
        <v>0</v>
      </c>
      <c r="C46" s="11">
        <f t="shared" si="0"/>
        <v>0</v>
      </c>
    </row>
    <row r="47" spans="1:3" x14ac:dyDescent="0.25">
      <c r="A47" s="4" t="s">
        <v>136</v>
      </c>
      <c r="B47" s="4">
        <f>COUNTIF(RawData[Slot],43)</f>
        <v>0</v>
      </c>
      <c r="C47" s="11">
        <f t="shared" si="0"/>
        <v>0</v>
      </c>
    </row>
    <row r="48" spans="1:3" x14ac:dyDescent="0.25">
      <c r="A48" s="4" t="s">
        <v>137</v>
      </c>
      <c r="B48" s="4">
        <f>COUNTIF(RawData[Slot],44)</f>
        <v>0</v>
      </c>
      <c r="C48" s="11">
        <f t="shared" si="0"/>
        <v>0</v>
      </c>
    </row>
    <row r="49" spans="1:3" x14ac:dyDescent="0.25">
      <c r="A49" s="4" t="s">
        <v>138</v>
      </c>
      <c r="B49" s="4">
        <f>COUNTIF(RawData[Slot],45)</f>
        <v>0</v>
      </c>
      <c r="C49" s="11">
        <f t="shared" si="0"/>
        <v>0</v>
      </c>
    </row>
    <row r="50" spans="1:3" x14ac:dyDescent="0.25">
      <c r="A50" s="4" t="s">
        <v>139</v>
      </c>
      <c r="B50" s="4">
        <f>COUNTIF(RawData[Slot],46)</f>
        <v>0</v>
      </c>
      <c r="C50" s="11">
        <f t="shared" si="0"/>
        <v>0</v>
      </c>
    </row>
    <row r="51" spans="1:3" x14ac:dyDescent="0.25">
      <c r="A51" s="4" t="s">
        <v>140</v>
      </c>
      <c r="B51" s="4">
        <f>COUNTIF(RawData[Slot],47)</f>
        <v>0</v>
      </c>
      <c r="C51" s="11">
        <f t="shared" si="0"/>
        <v>0</v>
      </c>
    </row>
    <row r="52" spans="1:3" x14ac:dyDescent="0.25">
      <c r="A52" s="8" t="s">
        <v>88</v>
      </c>
      <c r="B52" s="8">
        <f>SUM(B4:B51)</f>
        <v>26</v>
      </c>
      <c r="C52" s="12">
        <f>SUM(C4:C51)</f>
        <v>1</v>
      </c>
    </row>
  </sheetData>
  <conditionalFormatting sqref="B4:B5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{95B14045-30A6-4D09-8586-D33877A9C0D9}</x14:id>
        </ext>
      </extLst>
    </cfRule>
  </conditionalFormatting>
  <conditionalFormatting sqref="C4:C51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B14045-30A6-4D09-8586-D33877A9C0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2"/>
  <sheetViews>
    <sheetView zoomScaleNormal="100" workbookViewId="0">
      <pane xSplit="1" ySplit="4" topLeftCell="J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2" customWidth="1"/>
    <col min="2" max="49" width="6" customWidth="1"/>
    <col min="50" max="50" width="10" customWidth="1"/>
  </cols>
  <sheetData>
    <row r="1" spans="1:50" ht="18" x14ac:dyDescent="0.25">
      <c r="A1" s="1" t="s">
        <v>141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5" t="s">
        <v>142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48</v>
      </c>
      <c r="R4" s="6" t="s">
        <v>49</v>
      </c>
      <c r="S4" s="6" t="s">
        <v>50</v>
      </c>
      <c r="T4" s="6" t="s">
        <v>51</v>
      </c>
      <c r="U4" s="6" t="s">
        <v>52</v>
      </c>
      <c r="V4" s="6" t="s">
        <v>53</v>
      </c>
      <c r="W4" s="6" t="s">
        <v>54</v>
      </c>
      <c r="X4" s="6" t="s">
        <v>55</v>
      </c>
      <c r="Y4" s="6" t="s">
        <v>56</v>
      </c>
      <c r="Z4" s="6" t="s">
        <v>57</v>
      </c>
      <c r="AA4" s="6" t="s">
        <v>58</v>
      </c>
      <c r="AB4" s="6" t="s">
        <v>59</v>
      </c>
      <c r="AC4" s="6" t="s">
        <v>60</v>
      </c>
      <c r="AD4" s="6" t="s">
        <v>61</v>
      </c>
      <c r="AE4" s="6" t="s">
        <v>62</v>
      </c>
      <c r="AF4" s="6" t="s">
        <v>63</v>
      </c>
      <c r="AG4" s="6" t="s">
        <v>64</v>
      </c>
      <c r="AH4" s="6" t="s">
        <v>65</v>
      </c>
      <c r="AI4" s="6" t="s">
        <v>66</v>
      </c>
      <c r="AJ4" s="6" t="s">
        <v>67</v>
      </c>
      <c r="AK4" s="6" t="s">
        <v>68</v>
      </c>
      <c r="AL4" s="6" t="s">
        <v>69</v>
      </c>
      <c r="AM4" s="6" t="s">
        <v>70</v>
      </c>
      <c r="AN4" s="6" t="s">
        <v>71</v>
      </c>
      <c r="AO4" s="6" t="s">
        <v>72</v>
      </c>
      <c r="AP4" s="6" t="s">
        <v>73</v>
      </c>
      <c r="AQ4" s="6" t="s">
        <v>74</v>
      </c>
      <c r="AR4" s="6" t="s">
        <v>75</v>
      </c>
      <c r="AS4" s="6" t="s">
        <v>76</v>
      </c>
      <c r="AT4" s="6" t="s">
        <v>77</v>
      </c>
      <c r="AU4" s="6" t="s">
        <v>78</v>
      </c>
      <c r="AV4" s="6" t="s">
        <v>79</v>
      </c>
      <c r="AW4" s="6" t="s">
        <v>80</v>
      </c>
      <c r="AX4" s="6" t="s">
        <v>88</v>
      </c>
    </row>
    <row r="5" spans="1:50" x14ac:dyDescent="0.25">
      <c r="A5" s="13" t="s">
        <v>143</v>
      </c>
      <c r="B5" s="4">
        <f>SUMPRODUCT((WEEKDAY(RawData[Date],2)=1)*(RawData[Slot]=0))</f>
        <v>0</v>
      </c>
      <c r="C5" s="4">
        <f>SUMPRODUCT((WEEKDAY(RawData[Date],2)=1)*(RawData[Slot]=1))</f>
        <v>0</v>
      </c>
      <c r="D5" s="4">
        <f>SUMPRODUCT((WEEKDAY(RawData[Date],2)=1)*(RawData[Slot]=2))</f>
        <v>0</v>
      </c>
      <c r="E5" s="4">
        <f>SUMPRODUCT((WEEKDAY(RawData[Date],2)=1)*(RawData[Slot]=3))</f>
        <v>0</v>
      </c>
      <c r="F5" s="4">
        <f>SUMPRODUCT((WEEKDAY(RawData[Date],2)=1)*(RawData[Slot]=4))</f>
        <v>0</v>
      </c>
      <c r="G5" s="4">
        <f>SUMPRODUCT((WEEKDAY(RawData[Date],2)=1)*(RawData[Slot]=5))</f>
        <v>0</v>
      </c>
      <c r="H5" s="4">
        <f>SUMPRODUCT((WEEKDAY(RawData[Date],2)=1)*(RawData[Slot]=6))</f>
        <v>0</v>
      </c>
      <c r="I5" s="4">
        <f>SUMPRODUCT((WEEKDAY(RawData[Date],2)=1)*(RawData[Slot]=7))</f>
        <v>0</v>
      </c>
      <c r="J5" s="4">
        <f>SUMPRODUCT((WEEKDAY(RawData[Date],2)=1)*(RawData[Slot]=8))</f>
        <v>0</v>
      </c>
      <c r="K5" s="4">
        <f>SUMPRODUCT((WEEKDAY(RawData[Date],2)=1)*(RawData[Slot]=9))</f>
        <v>0</v>
      </c>
      <c r="L5" s="4">
        <f>SUMPRODUCT((WEEKDAY(RawData[Date],2)=1)*(RawData[Slot]=10))</f>
        <v>0</v>
      </c>
      <c r="M5" s="4">
        <f>SUMPRODUCT((WEEKDAY(RawData[Date],2)=1)*(RawData[Slot]=11))</f>
        <v>0</v>
      </c>
      <c r="N5" s="4">
        <f>SUMPRODUCT((WEEKDAY(RawData[Date],2)=1)*(RawData[Slot]=12))</f>
        <v>0</v>
      </c>
      <c r="O5" s="4">
        <f>SUMPRODUCT((WEEKDAY(RawData[Date],2)=1)*(RawData[Slot]=13))</f>
        <v>0</v>
      </c>
      <c r="P5" s="4">
        <f>SUMPRODUCT((WEEKDAY(RawData[Date],2)=1)*(RawData[Slot]=14))</f>
        <v>0</v>
      </c>
      <c r="Q5" s="4">
        <f>SUMPRODUCT((WEEKDAY(RawData[Date],2)=1)*(RawData[Slot]=15))</f>
        <v>0</v>
      </c>
      <c r="R5" s="4">
        <f>SUMPRODUCT((WEEKDAY(RawData[Date],2)=1)*(RawData[Slot]=16))</f>
        <v>0</v>
      </c>
      <c r="S5" s="4">
        <f>SUMPRODUCT((WEEKDAY(RawData[Date],2)=1)*(RawData[Slot]=17))</f>
        <v>0</v>
      </c>
      <c r="T5" s="4">
        <f>SUMPRODUCT((WEEKDAY(RawData[Date],2)=1)*(RawData[Slot]=18))</f>
        <v>0</v>
      </c>
      <c r="U5" s="4">
        <f>SUMPRODUCT((WEEKDAY(RawData[Date],2)=1)*(RawData[Slot]=19))</f>
        <v>0</v>
      </c>
      <c r="V5" s="4">
        <f>SUMPRODUCT((WEEKDAY(RawData[Date],2)=1)*(RawData[Slot]=20))</f>
        <v>0</v>
      </c>
      <c r="W5" s="4">
        <f>SUMPRODUCT((WEEKDAY(RawData[Date],2)=1)*(RawData[Slot]=21))</f>
        <v>0</v>
      </c>
      <c r="X5" s="4">
        <f>SUMPRODUCT((WEEKDAY(RawData[Date],2)=1)*(RawData[Slot]=22))</f>
        <v>0</v>
      </c>
      <c r="Y5" s="4">
        <f>SUMPRODUCT((WEEKDAY(RawData[Date],2)=1)*(RawData[Slot]=23))</f>
        <v>0</v>
      </c>
      <c r="Z5" s="4">
        <f>SUMPRODUCT((WEEKDAY(RawData[Date],2)=1)*(RawData[Slot]=24))</f>
        <v>0</v>
      </c>
      <c r="AA5" s="4">
        <f>SUMPRODUCT((WEEKDAY(RawData[Date],2)=1)*(RawData[Slot]=25))</f>
        <v>0</v>
      </c>
      <c r="AB5" s="4">
        <f>SUMPRODUCT((WEEKDAY(RawData[Date],2)=1)*(RawData[Slot]=26))</f>
        <v>0</v>
      </c>
      <c r="AC5" s="4">
        <f>SUMPRODUCT((WEEKDAY(RawData[Date],2)=1)*(RawData[Slot]=27))</f>
        <v>0</v>
      </c>
      <c r="AD5" s="4">
        <f>SUMPRODUCT((WEEKDAY(RawData[Date],2)=1)*(RawData[Slot]=28))</f>
        <v>0</v>
      </c>
      <c r="AE5" s="4">
        <f>SUMPRODUCT((WEEKDAY(RawData[Date],2)=1)*(RawData[Slot]=29))</f>
        <v>0</v>
      </c>
      <c r="AF5" s="4">
        <f>SUMPRODUCT((WEEKDAY(RawData[Date],2)=1)*(RawData[Slot]=30))</f>
        <v>0</v>
      </c>
      <c r="AG5" s="4">
        <f>SUMPRODUCT((WEEKDAY(RawData[Date],2)=1)*(RawData[Slot]=31))</f>
        <v>0</v>
      </c>
      <c r="AH5" s="4">
        <f>SUMPRODUCT((WEEKDAY(RawData[Date],2)=1)*(RawData[Slot]=32))</f>
        <v>0</v>
      </c>
      <c r="AI5" s="4">
        <f>SUMPRODUCT((WEEKDAY(RawData[Date],2)=1)*(RawData[Slot]=33))</f>
        <v>0</v>
      </c>
      <c r="AJ5" s="4">
        <f>SUMPRODUCT((WEEKDAY(RawData[Date],2)=1)*(RawData[Slot]=34))</f>
        <v>0</v>
      </c>
      <c r="AK5" s="4">
        <f>SUMPRODUCT((WEEKDAY(RawData[Date],2)=1)*(RawData[Slot]=35))</f>
        <v>0</v>
      </c>
      <c r="AL5" s="4">
        <f>SUMPRODUCT((WEEKDAY(RawData[Date],2)=1)*(RawData[Slot]=36))</f>
        <v>0</v>
      </c>
      <c r="AM5" s="4">
        <f>SUMPRODUCT((WEEKDAY(RawData[Date],2)=1)*(RawData[Slot]=37))</f>
        <v>0</v>
      </c>
      <c r="AN5" s="4">
        <f>SUMPRODUCT((WEEKDAY(RawData[Date],2)=1)*(RawData[Slot]=38))</f>
        <v>0</v>
      </c>
      <c r="AO5" s="4">
        <f>SUMPRODUCT((WEEKDAY(RawData[Date],2)=1)*(RawData[Slot]=39))</f>
        <v>0</v>
      </c>
      <c r="AP5" s="4">
        <f>SUMPRODUCT((WEEKDAY(RawData[Date],2)=1)*(RawData[Slot]=40))</f>
        <v>0</v>
      </c>
      <c r="AQ5" s="4">
        <f>SUMPRODUCT((WEEKDAY(RawData[Date],2)=1)*(RawData[Slot]=41))</f>
        <v>0</v>
      </c>
      <c r="AR5" s="4">
        <f>SUMPRODUCT((WEEKDAY(RawData[Date],2)=1)*(RawData[Slot]=42))</f>
        <v>0</v>
      </c>
      <c r="AS5" s="4">
        <f>SUMPRODUCT((WEEKDAY(RawData[Date],2)=1)*(RawData[Slot]=43))</f>
        <v>0</v>
      </c>
      <c r="AT5" s="4">
        <f>SUMPRODUCT((WEEKDAY(RawData[Date],2)=1)*(RawData[Slot]=44))</f>
        <v>0</v>
      </c>
      <c r="AU5" s="4">
        <f>SUMPRODUCT((WEEKDAY(RawData[Date],2)=1)*(RawData[Slot]=45))</f>
        <v>0</v>
      </c>
      <c r="AV5" s="4">
        <f>SUMPRODUCT((WEEKDAY(RawData[Date],2)=1)*(RawData[Slot]=46))</f>
        <v>0</v>
      </c>
      <c r="AW5" s="4">
        <f>SUMPRODUCT((WEEKDAY(RawData[Date],2)=1)*(RawData[Slot]=47))</f>
        <v>0</v>
      </c>
      <c r="AX5" s="4">
        <f t="shared" ref="AX5:AX11" si="0">SUM(B5:AW5)</f>
        <v>0</v>
      </c>
    </row>
    <row r="6" spans="1:50" x14ac:dyDescent="0.25">
      <c r="A6" s="13" t="s">
        <v>144</v>
      </c>
      <c r="B6" s="4">
        <f>SUMPRODUCT((WEEKDAY(RawData[Date],2)=2)*(RawData[Slot]=0))</f>
        <v>0</v>
      </c>
      <c r="C6" s="4">
        <f>SUMPRODUCT((WEEKDAY(RawData[Date],2)=2)*(RawData[Slot]=1))</f>
        <v>0</v>
      </c>
      <c r="D6" s="4">
        <f>SUMPRODUCT((WEEKDAY(RawData[Date],2)=2)*(RawData[Slot]=2))</f>
        <v>0</v>
      </c>
      <c r="E6" s="4">
        <f>SUMPRODUCT((WEEKDAY(RawData[Date],2)=2)*(RawData[Slot]=3))</f>
        <v>0</v>
      </c>
      <c r="F6" s="4">
        <f>SUMPRODUCT((WEEKDAY(RawData[Date],2)=2)*(RawData[Slot]=4))</f>
        <v>0</v>
      </c>
      <c r="G6" s="4">
        <f>SUMPRODUCT((WEEKDAY(RawData[Date],2)=2)*(RawData[Slot]=5))</f>
        <v>0</v>
      </c>
      <c r="H6" s="4">
        <f>SUMPRODUCT((WEEKDAY(RawData[Date],2)=2)*(RawData[Slot]=6))</f>
        <v>0</v>
      </c>
      <c r="I6" s="4">
        <f>SUMPRODUCT((WEEKDAY(RawData[Date],2)=2)*(RawData[Slot]=7))</f>
        <v>0</v>
      </c>
      <c r="J6" s="4">
        <f>SUMPRODUCT((WEEKDAY(RawData[Date],2)=2)*(RawData[Slot]=8))</f>
        <v>0</v>
      </c>
      <c r="K6" s="4">
        <f>SUMPRODUCT((WEEKDAY(RawData[Date],2)=2)*(RawData[Slot]=9))</f>
        <v>0</v>
      </c>
      <c r="L6" s="4">
        <f>SUMPRODUCT((WEEKDAY(RawData[Date],2)=2)*(RawData[Slot]=10))</f>
        <v>0</v>
      </c>
      <c r="M6" s="4">
        <f>SUMPRODUCT((WEEKDAY(RawData[Date],2)=2)*(RawData[Slot]=11))</f>
        <v>0</v>
      </c>
      <c r="N6" s="4">
        <f>SUMPRODUCT((WEEKDAY(RawData[Date],2)=2)*(RawData[Slot]=12))</f>
        <v>0</v>
      </c>
      <c r="O6" s="4">
        <f>SUMPRODUCT((WEEKDAY(RawData[Date],2)=2)*(RawData[Slot]=13))</f>
        <v>0</v>
      </c>
      <c r="P6" s="4">
        <f>SUMPRODUCT((WEEKDAY(RawData[Date],2)=2)*(RawData[Slot]=14))</f>
        <v>0</v>
      </c>
      <c r="Q6" s="4">
        <f>SUMPRODUCT((WEEKDAY(RawData[Date],2)=2)*(RawData[Slot]=15))</f>
        <v>0</v>
      </c>
      <c r="R6" s="4">
        <f>SUMPRODUCT((WEEKDAY(RawData[Date],2)=2)*(RawData[Slot]=16))</f>
        <v>0</v>
      </c>
      <c r="S6" s="4">
        <f>SUMPRODUCT((WEEKDAY(RawData[Date],2)=2)*(RawData[Slot]=17))</f>
        <v>0</v>
      </c>
      <c r="T6" s="4">
        <f>SUMPRODUCT((WEEKDAY(RawData[Date],2)=2)*(RawData[Slot]=18))</f>
        <v>0</v>
      </c>
      <c r="U6" s="4">
        <f>SUMPRODUCT((WEEKDAY(RawData[Date],2)=2)*(RawData[Slot]=19))</f>
        <v>0</v>
      </c>
      <c r="V6" s="4">
        <f>SUMPRODUCT((WEEKDAY(RawData[Date],2)=2)*(RawData[Slot]=20))</f>
        <v>0</v>
      </c>
      <c r="W6" s="4">
        <f>SUMPRODUCT((WEEKDAY(RawData[Date],2)=2)*(RawData[Slot]=21))</f>
        <v>0</v>
      </c>
      <c r="X6" s="4">
        <f>SUMPRODUCT((WEEKDAY(RawData[Date],2)=2)*(RawData[Slot]=22))</f>
        <v>0</v>
      </c>
      <c r="Y6" s="4">
        <f>SUMPRODUCT((WEEKDAY(RawData[Date],2)=2)*(RawData[Slot]=23))</f>
        <v>0</v>
      </c>
      <c r="Z6" s="4">
        <f>SUMPRODUCT((WEEKDAY(RawData[Date],2)=2)*(RawData[Slot]=24))</f>
        <v>0</v>
      </c>
      <c r="AA6" s="4">
        <f>SUMPRODUCT((WEEKDAY(RawData[Date],2)=2)*(RawData[Slot]=25))</f>
        <v>0</v>
      </c>
      <c r="AB6" s="4">
        <f>SUMPRODUCT((WEEKDAY(RawData[Date],2)=2)*(RawData[Slot]=26))</f>
        <v>0</v>
      </c>
      <c r="AC6" s="4">
        <f>SUMPRODUCT((WEEKDAY(RawData[Date],2)=2)*(RawData[Slot]=27))</f>
        <v>0</v>
      </c>
      <c r="AD6" s="4">
        <f>SUMPRODUCT((WEEKDAY(RawData[Date],2)=2)*(RawData[Slot]=28))</f>
        <v>0</v>
      </c>
      <c r="AE6" s="4">
        <f>SUMPRODUCT((WEEKDAY(RawData[Date],2)=2)*(RawData[Slot]=29))</f>
        <v>0</v>
      </c>
      <c r="AF6" s="4">
        <f>SUMPRODUCT((WEEKDAY(RawData[Date],2)=2)*(RawData[Slot]=30))</f>
        <v>0</v>
      </c>
      <c r="AG6" s="4">
        <f>SUMPRODUCT((WEEKDAY(RawData[Date],2)=2)*(RawData[Slot]=31))</f>
        <v>0</v>
      </c>
      <c r="AH6" s="4">
        <f>SUMPRODUCT((WEEKDAY(RawData[Date],2)=2)*(RawData[Slot]=32))</f>
        <v>0</v>
      </c>
      <c r="AI6" s="4">
        <f>SUMPRODUCT((WEEKDAY(RawData[Date],2)=2)*(RawData[Slot]=33))</f>
        <v>0</v>
      </c>
      <c r="AJ6" s="4">
        <f>SUMPRODUCT((WEEKDAY(RawData[Date],2)=2)*(RawData[Slot]=34))</f>
        <v>0</v>
      </c>
      <c r="AK6" s="4">
        <f>SUMPRODUCT((WEEKDAY(RawData[Date],2)=2)*(RawData[Slot]=35))</f>
        <v>0</v>
      </c>
      <c r="AL6" s="4">
        <f>SUMPRODUCT((WEEKDAY(RawData[Date],2)=2)*(RawData[Slot]=36))</f>
        <v>0</v>
      </c>
      <c r="AM6" s="4">
        <f>SUMPRODUCT((WEEKDAY(RawData[Date],2)=2)*(RawData[Slot]=37))</f>
        <v>0</v>
      </c>
      <c r="AN6" s="4">
        <f>SUMPRODUCT((WEEKDAY(RawData[Date],2)=2)*(RawData[Slot]=38))</f>
        <v>0</v>
      </c>
      <c r="AO6" s="4">
        <f>SUMPRODUCT((WEEKDAY(RawData[Date],2)=2)*(RawData[Slot]=39))</f>
        <v>0</v>
      </c>
      <c r="AP6" s="4">
        <f>SUMPRODUCT((WEEKDAY(RawData[Date],2)=2)*(RawData[Slot]=40))</f>
        <v>0</v>
      </c>
      <c r="AQ6" s="4">
        <f>SUMPRODUCT((WEEKDAY(RawData[Date],2)=2)*(RawData[Slot]=41))</f>
        <v>0</v>
      </c>
      <c r="AR6" s="4">
        <f>SUMPRODUCT((WEEKDAY(RawData[Date],2)=2)*(RawData[Slot]=42))</f>
        <v>0</v>
      </c>
      <c r="AS6" s="4">
        <f>SUMPRODUCT((WEEKDAY(RawData[Date],2)=2)*(RawData[Slot]=43))</f>
        <v>0</v>
      </c>
      <c r="AT6" s="4">
        <f>SUMPRODUCT((WEEKDAY(RawData[Date],2)=2)*(RawData[Slot]=44))</f>
        <v>0</v>
      </c>
      <c r="AU6" s="4">
        <f>SUMPRODUCT((WEEKDAY(RawData[Date],2)=2)*(RawData[Slot]=45))</f>
        <v>0</v>
      </c>
      <c r="AV6" s="4">
        <f>SUMPRODUCT((WEEKDAY(RawData[Date],2)=2)*(RawData[Slot]=46))</f>
        <v>0</v>
      </c>
      <c r="AW6" s="4">
        <f>SUMPRODUCT((WEEKDAY(RawData[Date],2)=2)*(RawData[Slot]=47))</f>
        <v>0</v>
      </c>
      <c r="AX6" s="4">
        <f t="shared" si="0"/>
        <v>0</v>
      </c>
    </row>
    <row r="7" spans="1:50" x14ac:dyDescent="0.25">
      <c r="A7" s="13" t="s">
        <v>145</v>
      </c>
      <c r="B7" s="4">
        <f>SUMPRODUCT((WEEKDAY(RawData[Date],2)=3)*(RawData[Slot]=0))</f>
        <v>0</v>
      </c>
      <c r="C7" s="4">
        <f>SUMPRODUCT((WEEKDAY(RawData[Date],2)=3)*(RawData[Slot]=1))</f>
        <v>0</v>
      </c>
      <c r="D7" s="4">
        <f>SUMPRODUCT((WEEKDAY(RawData[Date],2)=3)*(RawData[Slot]=2))</f>
        <v>0</v>
      </c>
      <c r="E7" s="4">
        <f>SUMPRODUCT((WEEKDAY(RawData[Date],2)=3)*(RawData[Slot]=3))</f>
        <v>0</v>
      </c>
      <c r="F7" s="4">
        <f>SUMPRODUCT((WEEKDAY(RawData[Date],2)=3)*(RawData[Slot]=4))</f>
        <v>0</v>
      </c>
      <c r="G7" s="4">
        <f>SUMPRODUCT((WEEKDAY(RawData[Date],2)=3)*(RawData[Slot]=5))</f>
        <v>0</v>
      </c>
      <c r="H7" s="4">
        <f>SUMPRODUCT((WEEKDAY(RawData[Date],2)=3)*(RawData[Slot]=6))</f>
        <v>0</v>
      </c>
      <c r="I7" s="4">
        <f>SUMPRODUCT((WEEKDAY(RawData[Date],2)=3)*(RawData[Slot]=7))</f>
        <v>0</v>
      </c>
      <c r="J7" s="4">
        <f>SUMPRODUCT((WEEKDAY(RawData[Date],2)=3)*(RawData[Slot]=8))</f>
        <v>0</v>
      </c>
      <c r="K7" s="4">
        <f>SUMPRODUCT((WEEKDAY(RawData[Date],2)=3)*(RawData[Slot]=9))</f>
        <v>0</v>
      </c>
      <c r="L7" s="4">
        <f>SUMPRODUCT((WEEKDAY(RawData[Date],2)=3)*(RawData[Slot]=10))</f>
        <v>0</v>
      </c>
      <c r="M7" s="4">
        <f>SUMPRODUCT((WEEKDAY(RawData[Date],2)=3)*(RawData[Slot]=11))</f>
        <v>0</v>
      </c>
      <c r="N7" s="4">
        <f>SUMPRODUCT((WEEKDAY(RawData[Date],2)=3)*(RawData[Slot]=12))</f>
        <v>0</v>
      </c>
      <c r="O7" s="4">
        <f>SUMPRODUCT((WEEKDAY(RawData[Date],2)=3)*(RawData[Slot]=13))</f>
        <v>0</v>
      </c>
      <c r="P7" s="4">
        <f>SUMPRODUCT((WEEKDAY(RawData[Date],2)=3)*(RawData[Slot]=14))</f>
        <v>0</v>
      </c>
      <c r="Q7" s="4">
        <f>SUMPRODUCT((WEEKDAY(RawData[Date],2)=3)*(RawData[Slot]=15))</f>
        <v>0</v>
      </c>
      <c r="R7" s="4">
        <f>SUMPRODUCT((WEEKDAY(RawData[Date],2)=3)*(RawData[Slot]=16))</f>
        <v>0</v>
      </c>
      <c r="S7" s="4">
        <f>SUMPRODUCT((WEEKDAY(RawData[Date],2)=3)*(RawData[Slot]=17))</f>
        <v>0</v>
      </c>
      <c r="T7" s="4">
        <f>SUMPRODUCT((WEEKDAY(RawData[Date],2)=3)*(RawData[Slot]=18))</f>
        <v>0</v>
      </c>
      <c r="U7" s="4">
        <f>SUMPRODUCT((WEEKDAY(RawData[Date],2)=3)*(RawData[Slot]=19))</f>
        <v>0</v>
      </c>
      <c r="V7" s="4">
        <f>SUMPRODUCT((WEEKDAY(RawData[Date],2)=3)*(RawData[Slot]=20))</f>
        <v>0</v>
      </c>
      <c r="W7" s="4">
        <f>SUMPRODUCT((WEEKDAY(RawData[Date],2)=3)*(RawData[Slot]=21))</f>
        <v>0</v>
      </c>
      <c r="X7" s="4">
        <f>SUMPRODUCT((WEEKDAY(RawData[Date],2)=3)*(RawData[Slot]=22))</f>
        <v>0</v>
      </c>
      <c r="Y7" s="4">
        <f>SUMPRODUCT((WEEKDAY(RawData[Date],2)=3)*(RawData[Slot]=23))</f>
        <v>0</v>
      </c>
      <c r="Z7" s="4">
        <f>SUMPRODUCT((WEEKDAY(RawData[Date],2)=3)*(RawData[Slot]=24))</f>
        <v>0</v>
      </c>
      <c r="AA7" s="4">
        <f>SUMPRODUCT((WEEKDAY(RawData[Date],2)=3)*(RawData[Slot]=25))</f>
        <v>0</v>
      </c>
      <c r="AB7" s="4">
        <f>SUMPRODUCT((WEEKDAY(RawData[Date],2)=3)*(RawData[Slot]=26))</f>
        <v>0</v>
      </c>
      <c r="AC7" s="4">
        <f>SUMPRODUCT((WEEKDAY(RawData[Date],2)=3)*(RawData[Slot]=27))</f>
        <v>0</v>
      </c>
      <c r="AD7" s="4">
        <f>SUMPRODUCT((WEEKDAY(RawData[Date],2)=3)*(RawData[Slot]=28))</f>
        <v>0</v>
      </c>
      <c r="AE7" s="4">
        <f>SUMPRODUCT((WEEKDAY(RawData[Date],2)=3)*(RawData[Slot]=29))</f>
        <v>0</v>
      </c>
      <c r="AF7" s="4">
        <f>SUMPRODUCT((WEEKDAY(RawData[Date],2)=3)*(RawData[Slot]=30))</f>
        <v>0</v>
      </c>
      <c r="AG7" s="4">
        <f>SUMPRODUCT((WEEKDAY(RawData[Date],2)=3)*(RawData[Slot]=31))</f>
        <v>0</v>
      </c>
      <c r="AH7" s="4">
        <f>SUMPRODUCT((WEEKDAY(RawData[Date],2)=3)*(RawData[Slot]=32))</f>
        <v>0</v>
      </c>
      <c r="AI7" s="4">
        <f>SUMPRODUCT((WEEKDAY(RawData[Date],2)=3)*(RawData[Slot]=33))</f>
        <v>0</v>
      </c>
      <c r="AJ7" s="4">
        <f>SUMPRODUCT((WEEKDAY(RawData[Date],2)=3)*(RawData[Slot]=34))</f>
        <v>0</v>
      </c>
      <c r="AK7" s="4">
        <f>SUMPRODUCT((WEEKDAY(RawData[Date],2)=3)*(RawData[Slot]=35))</f>
        <v>0</v>
      </c>
      <c r="AL7" s="4">
        <f>SUMPRODUCT((WEEKDAY(RawData[Date],2)=3)*(RawData[Slot]=36))</f>
        <v>0</v>
      </c>
      <c r="AM7" s="4">
        <f>SUMPRODUCT((WEEKDAY(RawData[Date],2)=3)*(RawData[Slot]=37))</f>
        <v>0</v>
      </c>
      <c r="AN7" s="4">
        <f>SUMPRODUCT((WEEKDAY(RawData[Date],2)=3)*(RawData[Slot]=38))</f>
        <v>0</v>
      </c>
      <c r="AO7" s="4">
        <f>SUMPRODUCT((WEEKDAY(RawData[Date],2)=3)*(RawData[Slot]=39))</f>
        <v>0</v>
      </c>
      <c r="AP7" s="4">
        <f>SUMPRODUCT((WEEKDAY(RawData[Date],2)=3)*(RawData[Slot]=40))</f>
        <v>0</v>
      </c>
      <c r="AQ7" s="4">
        <f>SUMPRODUCT((WEEKDAY(RawData[Date],2)=3)*(RawData[Slot]=41))</f>
        <v>0</v>
      </c>
      <c r="AR7" s="4">
        <f>SUMPRODUCT((WEEKDAY(RawData[Date],2)=3)*(RawData[Slot]=42))</f>
        <v>0</v>
      </c>
      <c r="AS7" s="4">
        <f>SUMPRODUCT((WEEKDAY(RawData[Date],2)=3)*(RawData[Slot]=43))</f>
        <v>0</v>
      </c>
      <c r="AT7" s="4">
        <f>SUMPRODUCT((WEEKDAY(RawData[Date],2)=3)*(RawData[Slot]=44))</f>
        <v>0</v>
      </c>
      <c r="AU7" s="4">
        <f>SUMPRODUCT((WEEKDAY(RawData[Date],2)=3)*(RawData[Slot]=45))</f>
        <v>0</v>
      </c>
      <c r="AV7" s="4">
        <f>SUMPRODUCT((WEEKDAY(RawData[Date],2)=3)*(RawData[Slot]=46))</f>
        <v>0</v>
      </c>
      <c r="AW7" s="4">
        <f>SUMPRODUCT((WEEKDAY(RawData[Date],2)=3)*(RawData[Slot]=47))</f>
        <v>0</v>
      </c>
      <c r="AX7" s="4">
        <f t="shared" si="0"/>
        <v>0</v>
      </c>
    </row>
    <row r="8" spans="1:50" x14ac:dyDescent="0.25">
      <c r="A8" s="13" t="s">
        <v>146</v>
      </c>
      <c r="B8" s="4">
        <f>SUMPRODUCT((WEEKDAY(RawData[Date],2)=4)*(RawData[Slot]=0))</f>
        <v>0</v>
      </c>
      <c r="C8" s="4">
        <f>SUMPRODUCT((WEEKDAY(RawData[Date],2)=4)*(RawData[Slot]=1))</f>
        <v>0</v>
      </c>
      <c r="D8" s="4">
        <f>SUMPRODUCT((WEEKDAY(RawData[Date],2)=4)*(RawData[Slot]=2))</f>
        <v>0</v>
      </c>
      <c r="E8" s="4">
        <f>SUMPRODUCT((WEEKDAY(RawData[Date],2)=4)*(RawData[Slot]=3))</f>
        <v>0</v>
      </c>
      <c r="F8" s="4">
        <f>SUMPRODUCT((WEEKDAY(RawData[Date],2)=4)*(RawData[Slot]=4))</f>
        <v>0</v>
      </c>
      <c r="G8" s="4">
        <f>SUMPRODUCT((WEEKDAY(RawData[Date],2)=4)*(RawData[Slot]=5))</f>
        <v>0</v>
      </c>
      <c r="H8" s="4">
        <f>SUMPRODUCT((WEEKDAY(RawData[Date],2)=4)*(RawData[Slot]=6))</f>
        <v>0</v>
      </c>
      <c r="I8" s="4">
        <f>SUMPRODUCT((WEEKDAY(RawData[Date],2)=4)*(RawData[Slot]=7))</f>
        <v>0</v>
      </c>
      <c r="J8" s="4">
        <f>SUMPRODUCT((WEEKDAY(RawData[Date],2)=4)*(RawData[Slot]=8))</f>
        <v>0</v>
      </c>
      <c r="K8" s="4">
        <f>SUMPRODUCT((WEEKDAY(RawData[Date],2)=4)*(RawData[Slot]=9))</f>
        <v>0</v>
      </c>
      <c r="L8" s="4">
        <f>SUMPRODUCT((WEEKDAY(RawData[Date],2)=4)*(RawData[Slot]=10))</f>
        <v>0</v>
      </c>
      <c r="M8" s="4">
        <f>SUMPRODUCT((WEEKDAY(RawData[Date],2)=4)*(RawData[Slot]=11))</f>
        <v>0</v>
      </c>
      <c r="N8" s="4">
        <f>SUMPRODUCT((WEEKDAY(RawData[Date],2)=4)*(RawData[Slot]=12))</f>
        <v>0</v>
      </c>
      <c r="O8" s="4">
        <f>SUMPRODUCT((WEEKDAY(RawData[Date],2)=4)*(RawData[Slot]=13))</f>
        <v>0</v>
      </c>
      <c r="P8" s="4">
        <f>SUMPRODUCT((WEEKDAY(RawData[Date],2)=4)*(RawData[Slot]=14))</f>
        <v>0</v>
      </c>
      <c r="Q8" s="4">
        <f>SUMPRODUCT((WEEKDAY(RawData[Date],2)=4)*(RawData[Slot]=15))</f>
        <v>0</v>
      </c>
      <c r="R8" s="4">
        <f>SUMPRODUCT((WEEKDAY(RawData[Date],2)=4)*(RawData[Slot]=16))</f>
        <v>0</v>
      </c>
      <c r="S8" s="4">
        <f>SUMPRODUCT((WEEKDAY(RawData[Date],2)=4)*(RawData[Slot]=17))</f>
        <v>0</v>
      </c>
      <c r="T8" s="4">
        <f>SUMPRODUCT((WEEKDAY(RawData[Date],2)=4)*(RawData[Slot]=18))</f>
        <v>0</v>
      </c>
      <c r="U8" s="4">
        <f>SUMPRODUCT((WEEKDAY(RawData[Date],2)=4)*(RawData[Slot]=19))</f>
        <v>0</v>
      </c>
      <c r="V8" s="4">
        <f>SUMPRODUCT((WEEKDAY(RawData[Date],2)=4)*(RawData[Slot]=20))</f>
        <v>0</v>
      </c>
      <c r="W8" s="4">
        <f>SUMPRODUCT((WEEKDAY(RawData[Date],2)=4)*(RawData[Slot]=21))</f>
        <v>0</v>
      </c>
      <c r="X8" s="4">
        <f>SUMPRODUCT((WEEKDAY(RawData[Date],2)=4)*(RawData[Slot]=22))</f>
        <v>0</v>
      </c>
      <c r="Y8" s="4">
        <f>SUMPRODUCT((WEEKDAY(RawData[Date],2)=4)*(RawData[Slot]=23))</f>
        <v>0</v>
      </c>
      <c r="Z8" s="4">
        <f>SUMPRODUCT((WEEKDAY(RawData[Date],2)=4)*(RawData[Slot]=24))</f>
        <v>0</v>
      </c>
      <c r="AA8" s="4">
        <f>SUMPRODUCT((WEEKDAY(RawData[Date],2)=4)*(RawData[Slot]=25))</f>
        <v>0</v>
      </c>
      <c r="AB8" s="4">
        <f>SUMPRODUCT((WEEKDAY(RawData[Date],2)=4)*(RawData[Slot]=26))</f>
        <v>0</v>
      </c>
      <c r="AC8" s="4">
        <f>SUMPRODUCT((WEEKDAY(RawData[Date],2)=4)*(RawData[Slot]=27))</f>
        <v>0</v>
      </c>
      <c r="AD8" s="4">
        <f>SUMPRODUCT((WEEKDAY(RawData[Date],2)=4)*(RawData[Slot]=28))</f>
        <v>0</v>
      </c>
      <c r="AE8" s="4">
        <f>SUMPRODUCT((WEEKDAY(RawData[Date],2)=4)*(RawData[Slot]=29))</f>
        <v>0</v>
      </c>
      <c r="AF8" s="4">
        <f>SUMPRODUCT((WEEKDAY(RawData[Date],2)=4)*(RawData[Slot]=30))</f>
        <v>0</v>
      </c>
      <c r="AG8" s="4">
        <f>SUMPRODUCT((WEEKDAY(RawData[Date],2)=4)*(RawData[Slot]=31))</f>
        <v>0</v>
      </c>
      <c r="AH8" s="4">
        <f>SUMPRODUCT((WEEKDAY(RawData[Date],2)=4)*(RawData[Slot]=32))</f>
        <v>0</v>
      </c>
      <c r="AI8" s="4">
        <f>SUMPRODUCT((WEEKDAY(RawData[Date],2)=4)*(RawData[Slot]=33))</f>
        <v>0</v>
      </c>
      <c r="AJ8" s="4">
        <f>SUMPRODUCT((WEEKDAY(RawData[Date],2)=4)*(RawData[Slot]=34))</f>
        <v>0</v>
      </c>
      <c r="AK8" s="4">
        <f>SUMPRODUCT((WEEKDAY(RawData[Date],2)=4)*(RawData[Slot]=35))</f>
        <v>0</v>
      </c>
      <c r="AL8" s="4">
        <f>SUMPRODUCT((WEEKDAY(RawData[Date],2)=4)*(RawData[Slot]=36))</f>
        <v>0</v>
      </c>
      <c r="AM8" s="4">
        <f>SUMPRODUCT((WEEKDAY(RawData[Date],2)=4)*(RawData[Slot]=37))</f>
        <v>0</v>
      </c>
      <c r="AN8" s="4">
        <f>SUMPRODUCT((WEEKDAY(RawData[Date],2)=4)*(RawData[Slot]=38))</f>
        <v>0</v>
      </c>
      <c r="AO8" s="4">
        <f>SUMPRODUCT((WEEKDAY(RawData[Date],2)=4)*(RawData[Slot]=39))</f>
        <v>0</v>
      </c>
      <c r="AP8" s="4">
        <f>SUMPRODUCT((WEEKDAY(RawData[Date],2)=4)*(RawData[Slot]=40))</f>
        <v>0</v>
      </c>
      <c r="AQ8" s="4">
        <f>SUMPRODUCT((WEEKDAY(RawData[Date],2)=4)*(RawData[Slot]=41))</f>
        <v>0</v>
      </c>
      <c r="AR8" s="4">
        <f>SUMPRODUCT((WEEKDAY(RawData[Date],2)=4)*(RawData[Slot]=42))</f>
        <v>0</v>
      </c>
      <c r="AS8" s="4">
        <f>SUMPRODUCT((WEEKDAY(RawData[Date],2)=4)*(RawData[Slot]=43))</f>
        <v>0</v>
      </c>
      <c r="AT8" s="4">
        <f>SUMPRODUCT((WEEKDAY(RawData[Date],2)=4)*(RawData[Slot]=44))</f>
        <v>0</v>
      </c>
      <c r="AU8" s="4">
        <f>SUMPRODUCT((WEEKDAY(RawData[Date],2)=4)*(RawData[Slot]=45))</f>
        <v>0</v>
      </c>
      <c r="AV8" s="4">
        <f>SUMPRODUCT((WEEKDAY(RawData[Date],2)=4)*(RawData[Slot]=46))</f>
        <v>0</v>
      </c>
      <c r="AW8" s="4">
        <f>SUMPRODUCT((WEEKDAY(RawData[Date],2)=4)*(RawData[Slot]=47))</f>
        <v>0</v>
      </c>
      <c r="AX8" s="4">
        <f t="shared" si="0"/>
        <v>0</v>
      </c>
    </row>
    <row r="9" spans="1:50" x14ac:dyDescent="0.25">
      <c r="A9" s="13" t="s">
        <v>147</v>
      </c>
      <c r="B9" s="4">
        <f>SUMPRODUCT((WEEKDAY(RawData[Date],2)=5)*(RawData[Slot]=0))</f>
        <v>0</v>
      </c>
      <c r="C9" s="4">
        <f>SUMPRODUCT((WEEKDAY(RawData[Date],2)=5)*(RawData[Slot]=1))</f>
        <v>0</v>
      </c>
      <c r="D9" s="4">
        <f>SUMPRODUCT((WEEKDAY(RawData[Date],2)=5)*(RawData[Slot]=2))</f>
        <v>0</v>
      </c>
      <c r="E9" s="4">
        <f>SUMPRODUCT((WEEKDAY(RawData[Date],2)=5)*(RawData[Slot]=3))</f>
        <v>0</v>
      </c>
      <c r="F9" s="4">
        <f>SUMPRODUCT((WEEKDAY(RawData[Date],2)=5)*(RawData[Slot]=4))</f>
        <v>0</v>
      </c>
      <c r="G9" s="4">
        <f>SUMPRODUCT((WEEKDAY(RawData[Date],2)=5)*(RawData[Slot]=5))</f>
        <v>0</v>
      </c>
      <c r="H9" s="4">
        <f>SUMPRODUCT((WEEKDAY(RawData[Date],2)=5)*(RawData[Slot]=6))</f>
        <v>0</v>
      </c>
      <c r="I9" s="4">
        <f>SUMPRODUCT((WEEKDAY(RawData[Date],2)=5)*(RawData[Slot]=7))</f>
        <v>0</v>
      </c>
      <c r="J9" s="4">
        <f>SUMPRODUCT((WEEKDAY(RawData[Date],2)=5)*(RawData[Slot]=8))</f>
        <v>0</v>
      </c>
      <c r="K9" s="4">
        <f>SUMPRODUCT((WEEKDAY(RawData[Date],2)=5)*(RawData[Slot]=9))</f>
        <v>0</v>
      </c>
      <c r="L9" s="4">
        <f>SUMPRODUCT((WEEKDAY(RawData[Date],2)=5)*(RawData[Slot]=10))</f>
        <v>0</v>
      </c>
      <c r="M9" s="4">
        <f>SUMPRODUCT((WEEKDAY(RawData[Date],2)=5)*(RawData[Slot]=11))</f>
        <v>0</v>
      </c>
      <c r="N9" s="4">
        <f>SUMPRODUCT((WEEKDAY(RawData[Date],2)=5)*(RawData[Slot]=12))</f>
        <v>0</v>
      </c>
      <c r="O9" s="4">
        <f>SUMPRODUCT((WEEKDAY(RawData[Date],2)=5)*(RawData[Slot]=13))</f>
        <v>0</v>
      </c>
      <c r="P9" s="4">
        <f>SUMPRODUCT((WEEKDAY(RawData[Date],2)=5)*(RawData[Slot]=14))</f>
        <v>0</v>
      </c>
      <c r="Q9" s="4">
        <f>SUMPRODUCT((WEEKDAY(RawData[Date],2)=5)*(RawData[Slot]=15))</f>
        <v>0</v>
      </c>
      <c r="R9" s="4">
        <f>SUMPRODUCT((WEEKDAY(RawData[Date],2)=5)*(RawData[Slot]=16))</f>
        <v>0</v>
      </c>
      <c r="S9" s="4">
        <f>SUMPRODUCT((WEEKDAY(RawData[Date],2)=5)*(RawData[Slot]=17))</f>
        <v>0</v>
      </c>
      <c r="T9" s="4">
        <f>SUMPRODUCT((WEEKDAY(RawData[Date],2)=5)*(RawData[Slot]=18))</f>
        <v>0</v>
      </c>
      <c r="U9" s="4">
        <f>SUMPRODUCT((WEEKDAY(RawData[Date],2)=5)*(RawData[Slot]=19))</f>
        <v>6</v>
      </c>
      <c r="V9" s="4">
        <f>SUMPRODUCT((WEEKDAY(RawData[Date],2)=5)*(RawData[Slot]=20))</f>
        <v>3</v>
      </c>
      <c r="W9" s="4">
        <f>SUMPRODUCT((WEEKDAY(RawData[Date],2)=5)*(RawData[Slot]=21))</f>
        <v>1</v>
      </c>
      <c r="X9" s="4">
        <f>SUMPRODUCT((WEEKDAY(RawData[Date],2)=5)*(RawData[Slot]=22))</f>
        <v>2</v>
      </c>
      <c r="Y9" s="4">
        <f>SUMPRODUCT((WEEKDAY(RawData[Date],2)=5)*(RawData[Slot]=23))</f>
        <v>2</v>
      </c>
      <c r="Z9" s="4">
        <f>SUMPRODUCT((WEEKDAY(RawData[Date],2)=5)*(RawData[Slot]=24))</f>
        <v>0</v>
      </c>
      <c r="AA9" s="4">
        <f>SUMPRODUCT((WEEKDAY(RawData[Date],2)=5)*(RawData[Slot]=25))</f>
        <v>3</v>
      </c>
      <c r="AB9" s="4">
        <f>SUMPRODUCT((WEEKDAY(RawData[Date],2)=5)*(RawData[Slot]=26))</f>
        <v>1</v>
      </c>
      <c r="AC9" s="4">
        <f>SUMPRODUCT((WEEKDAY(RawData[Date],2)=5)*(RawData[Slot]=27))</f>
        <v>0</v>
      </c>
      <c r="AD9" s="4">
        <f>SUMPRODUCT((WEEKDAY(RawData[Date],2)=5)*(RawData[Slot]=28))</f>
        <v>0</v>
      </c>
      <c r="AE9" s="4">
        <f>SUMPRODUCT((WEEKDAY(RawData[Date],2)=5)*(RawData[Slot]=29))</f>
        <v>0</v>
      </c>
      <c r="AF9" s="4">
        <f>SUMPRODUCT((WEEKDAY(RawData[Date],2)=5)*(RawData[Slot]=30))</f>
        <v>0</v>
      </c>
      <c r="AG9" s="4">
        <f>SUMPRODUCT((WEEKDAY(RawData[Date],2)=5)*(RawData[Slot]=31))</f>
        <v>5</v>
      </c>
      <c r="AH9" s="4">
        <f>SUMPRODUCT((WEEKDAY(RawData[Date],2)=5)*(RawData[Slot]=32))</f>
        <v>1</v>
      </c>
      <c r="AI9" s="4">
        <f>SUMPRODUCT((WEEKDAY(RawData[Date],2)=5)*(RawData[Slot]=33))</f>
        <v>2</v>
      </c>
      <c r="AJ9" s="4">
        <f>SUMPRODUCT((WEEKDAY(RawData[Date],2)=5)*(RawData[Slot]=34))</f>
        <v>0</v>
      </c>
      <c r="AK9" s="4">
        <f>SUMPRODUCT((WEEKDAY(RawData[Date],2)=5)*(RawData[Slot]=35))</f>
        <v>0</v>
      </c>
      <c r="AL9" s="4">
        <f>SUMPRODUCT((WEEKDAY(RawData[Date],2)=5)*(RawData[Slot]=36))</f>
        <v>0</v>
      </c>
      <c r="AM9" s="4">
        <f>SUMPRODUCT((WEEKDAY(RawData[Date],2)=5)*(RawData[Slot]=37))</f>
        <v>0</v>
      </c>
      <c r="AN9" s="4">
        <f>SUMPRODUCT((WEEKDAY(RawData[Date],2)=5)*(RawData[Slot]=38))</f>
        <v>0</v>
      </c>
      <c r="AO9" s="4">
        <f>SUMPRODUCT((WEEKDAY(RawData[Date],2)=5)*(RawData[Slot]=39))</f>
        <v>0</v>
      </c>
      <c r="AP9" s="4">
        <f>SUMPRODUCT((WEEKDAY(RawData[Date],2)=5)*(RawData[Slot]=40))</f>
        <v>0</v>
      </c>
      <c r="AQ9" s="4">
        <f>SUMPRODUCT((WEEKDAY(RawData[Date],2)=5)*(RawData[Slot]=41))</f>
        <v>0</v>
      </c>
      <c r="AR9" s="4">
        <f>SUMPRODUCT((WEEKDAY(RawData[Date],2)=5)*(RawData[Slot]=42))</f>
        <v>0</v>
      </c>
      <c r="AS9" s="4">
        <f>SUMPRODUCT((WEEKDAY(RawData[Date],2)=5)*(RawData[Slot]=43))</f>
        <v>0</v>
      </c>
      <c r="AT9" s="4">
        <f>SUMPRODUCT((WEEKDAY(RawData[Date],2)=5)*(RawData[Slot]=44))</f>
        <v>0</v>
      </c>
      <c r="AU9" s="4">
        <f>SUMPRODUCT((WEEKDAY(RawData[Date],2)=5)*(RawData[Slot]=45))</f>
        <v>0</v>
      </c>
      <c r="AV9" s="4">
        <f>SUMPRODUCT((WEEKDAY(RawData[Date],2)=5)*(RawData[Slot]=46))</f>
        <v>0</v>
      </c>
      <c r="AW9" s="4">
        <f>SUMPRODUCT((WEEKDAY(RawData[Date],2)=5)*(RawData[Slot]=47))</f>
        <v>0</v>
      </c>
      <c r="AX9" s="4">
        <f t="shared" si="0"/>
        <v>26</v>
      </c>
    </row>
    <row r="10" spans="1:50" x14ac:dyDescent="0.25">
      <c r="A10" s="13" t="s">
        <v>148</v>
      </c>
      <c r="B10" s="4">
        <f>SUMPRODUCT((WEEKDAY(RawData[Date],2)=6)*(RawData[Slot]=0))</f>
        <v>4</v>
      </c>
      <c r="C10" s="4">
        <f>SUMPRODUCT((WEEKDAY(RawData[Date],2)=6)*(RawData[Slot]=1))</f>
        <v>0</v>
      </c>
      <c r="D10" s="4">
        <f>SUMPRODUCT((WEEKDAY(RawData[Date],2)=6)*(RawData[Slot]=2))</f>
        <v>0</v>
      </c>
      <c r="E10" s="4">
        <f>SUMPRODUCT((WEEKDAY(RawData[Date],2)=6)*(RawData[Slot]=3))</f>
        <v>0</v>
      </c>
      <c r="F10" s="4">
        <f>SUMPRODUCT((WEEKDAY(RawData[Date],2)=6)*(RawData[Slot]=4))</f>
        <v>0</v>
      </c>
      <c r="G10" s="4">
        <f>SUMPRODUCT((WEEKDAY(RawData[Date],2)=6)*(RawData[Slot]=5))</f>
        <v>0</v>
      </c>
      <c r="H10" s="4">
        <f>SUMPRODUCT((WEEKDAY(RawData[Date],2)=6)*(RawData[Slot]=6))</f>
        <v>0</v>
      </c>
      <c r="I10" s="4">
        <f>SUMPRODUCT((WEEKDAY(RawData[Date],2)=6)*(RawData[Slot]=7))</f>
        <v>0</v>
      </c>
      <c r="J10" s="4">
        <f>SUMPRODUCT((WEEKDAY(RawData[Date],2)=6)*(RawData[Slot]=8))</f>
        <v>0</v>
      </c>
      <c r="K10" s="4">
        <f>SUMPRODUCT((WEEKDAY(RawData[Date],2)=6)*(RawData[Slot]=9))</f>
        <v>0</v>
      </c>
      <c r="L10" s="4">
        <f>SUMPRODUCT((WEEKDAY(RawData[Date],2)=6)*(RawData[Slot]=10))</f>
        <v>0</v>
      </c>
      <c r="M10" s="4">
        <f>SUMPRODUCT((WEEKDAY(RawData[Date],2)=6)*(RawData[Slot]=11))</f>
        <v>0</v>
      </c>
      <c r="N10" s="4">
        <f>SUMPRODUCT((WEEKDAY(RawData[Date],2)=6)*(RawData[Slot]=12))</f>
        <v>0</v>
      </c>
      <c r="O10" s="4">
        <f>SUMPRODUCT((WEEKDAY(RawData[Date],2)=6)*(RawData[Slot]=13))</f>
        <v>0</v>
      </c>
      <c r="P10" s="4">
        <f>SUMPRODUCT((WEEKDAY(RawData[Date],2)=6)*(RawData[Slot]=14))</f>
        <v>0</v>
      </c>
      <c r="Q10" s="4">
        <f>SUMPRODUCT((WEEKDAY(RawData[Date],2)=6)*(RawData[Slot]=15))</f>
        <v>0</v>
      </c>
      <c r="R10" s="4">
        <f>SUMPRODUCT((WEEKDAY(RawData[Date],2)=6)*(RawData[Slot]=16))</f>
        <v>0</v>
      </c>
      <c r="S10" s="4">
        <f>SUMPRODUCT((WEEKDAY(RawData[Date],2)=6)*(RawData[Slot]=17))</f>
        <v>0</v>
      </c>
      <c r="T10" s="4">
        <f>SUMPRODUCT((WEEKDAY(RawData[Date],2)=6)*(RawData[Slot]=18))</f>
        <v>0</v>
      </c>
      <c r="U10" s="4">
        <f>SUMPRODUCT((WEEKDAY(RawData[Date],2)=6)*(RawData[Slot]=19))</f>
        <v>0</v>
      </c>
      <c r="V10" s="4">
        <f>SUMPRODUCT((WEEKDAY(RawData[Date],2)=6)*(RawData[Slot]=20))</f>
        <v>0</v>
      </c>
      <c r="W10" s="4">
        <f>SUMPRODUCT((WEEKDAY(RawData[Date],2)=6)*(RawData[Slot]=21))</f>
        <v>0</v>
      </c>
      <c r="X10" s="4">
        <f>SUMPRODUCT((WEEKDAY(RawData[Date],2)=6)*(RawData[Slot]=22))</f>
        <v>0</v>
      </c>
      <c r="Y10" s="4">
        <f>SUMPRODUCT((WEEKDAY(RawData[Date],2)=6)*(RawData[Slot]=23))</f>
        <v>0</v>
      </c>
      <c r="Z10" s="4">
        <f>SUMPRODUCT((WEEKDAY(RawData[Date],2)=6)*(RawData[Slot]=24))</f>
        <v>0</v>
      </c>
      <c r="AA10" s="4">
        <f>SUMPRODUCT((WEEKDAY(RawData[Date],2)=6)*(RawData[Slot]=25))</f>
        <v>0</v>
      </c>
      <c r="AB10" s="4">
        <f>SUMPRODUCT((WEEKDAY(RawData[Date],2)=6)*(RawData[Slot]=26))</f>
        <v>0</v>
      </c>
      <c r="AC10" s="4">
        <f>SUMPRODUCT((WEEKDAY(RawData[Date],2)=6)*(RawData[Slot]=27))</f>
        <v>0</v>
      </c>
      <c r="AD10" s="4">
        <f>SUMPRODUCT((WEEKDAY(RawData[Date],2)=6)*(RawData[Slot]=28))</f>
        <v>0</v>
      </c>
      <c r="AE10" s="4">
        <f>SUMPRODUCT((WEEKDAY(RawData[Date],2)=6)*(RawData[Slot]=29))</f>
        <v>0</v>
      </c>
      <c r="AF10" s="4">
        <f>SUMPRODUCT((WEEKDAY(RawData[Date],2)=6)*(RawData[Slot]=30))</f>
        <v>0</v>
      </c>
      <c r="AG10" s="4">
        <f>SUMPRODUCT((WEEKDAY(RawData[Date],2)=6)*(RawData[Slot]=31))</f>
        <v>0</v>
      </c>
      <c r="AH10" s="4">
        <f>SUMPRODUCT((WEEKDAY(RawData[Date],2)=6)*(RawData[Slot]=32))</f>
        <v>0</v>
      </c>
      <c r="AI10" s="4">
        <f>SUMPRODUCT((WEEKDAY(RawData[Date],2)=6)*(RawData[Slot]=33))</f>
        <v>0</v>
      </c>
      <c r="AJ10" s="4">
        <f>SUMPRODUCT((WEEKDAY(RawData[Date],2)=6)*(RawData[Slot]=34))</f>
        <v>0</v>
      </c>
      <c r="AK10" s="4">
        <f>SUMPRODUCT((WEEKDAY(RawData[Date],2)=6)*(RawData[Slot]=35))</f>
        <v>0</v>
      </c>
      <c r="AL10" s="4">
        <f>SUMPRODUCT((WEEKDAY(RawData[Date],2)=6)*(RawData[Slot]=36))</f>
        <v>0</v>
      </c>
      <c r="AM10" s="4">
        <f>SUMPRODUCT((WEEKDAY(RawData[Date],2)=6)*(RawData[Slot]=37))</f>
        <v>0</v>
      </c>
      <c r="AN10" s="4">
        <f>SUMPRODUCT((WEEKDAY(RawData[Date],2)=6)*(RawData[Slot]=38))</f>
        <v>0</v>
      </c>
      <c r="AO10" s="4">
        <f>SUMPRODUCT((WEEKDAY(RawData[Date],2)=6)*(RawData[Slot]=39))</f>
        <v>0</v>
      </c>
      <c r="AP10" s="4">
        <f>SUMPRODUCT((WEEKDAY(RawData[Date],2)=6)*(RawData[Slot]=40))</f>
        <v>0</v>
      </c>
      <c r="AQ10" s="4">
        <f>SUMPRODUCT((WEEKDAY(RawData[Date],2)=6)*(RawData[Slot]=41))</f>
        <v>0</v>
      </c>
      <c r="AR10" s="4">
        <f>SUMPRODUCT((WEEKDAY(RawData[Date],2)=6)*(RawData[Slot]=42))</f>
        <v>0</v>
      </c>
      <c r="AS10" s="4">
        <f>SUMPRODUCT((WEEKDAY(RawData[Date],2)=6)*(RawData[Slot]=43))</f>
        <v>0</v>
      </c>
      <c r="AT10" s="4">
        <f>SUMPRODUCT((WEEKDAY(RawData[Date],2)=6)*(RawData[Slot]=44))</f>
        <v>0</v>
      </c>
      <c r="AU10" s="4">
        <f>SUMPRODUCT((WEEKDAY(RawData[Date],2)=6)*(RawData[Slot]=45))</f>
        <v>0</v>
      </c>
      <c r="AV10" s="4">
        <f>SUMPRODUCT((WEEKDAY(RawData[Date],2)=6)*(RawData[Slot]=46))</f>
        <v>0</v>
      </c>
      <c r="AW10" s="4">
        <f>SUMPRODUCT((WEEKDAY(RawData[Date],2)=6)*(RawData[Slot]=47))</f>
        <v>0</v>
      </c>
      <c r="AX10" s="4">
        <f t="shared" si="0"/>
        <v>4</v>
      </c>
    </row>
    <row r="11" spans="1:50" x14ac:dyDescent="0.25">
      <c r="A11" s="13" t="s">
        <v>149</v>
      </c>
      <c r="B11" s="4">
        <f>SUMPRODUCT((WEEKDAY(RawData[Date],2)=7)*(RawData[Slot]=0))</f>
        <v>0</v>
      </c>
      <c r="C11" s="4">
        <f>SUMPRODUCT((WEEKDAY(RawData[Date],2)=7)*(RawData[Slot]=1))</f>
        <v>0</v>
      </c>
      <c r="D11" s="4">
        <f>SUMPRODUCT((WEEKDAY(RawData[Date],2)=7)*(RawData[Slot]=2))</f>
        <v>0</v>
      </c>
      <c r="E11" s="4">
        <f>SUMPRODUCT((WEEKDAY(RawData[Date],2)=7)*(RawData[Slot]=3))</f>
        <v>0</v>
      </c>
      <c r="F11" s="4">
        <f>SUMPRODUCT((WEEKDAY(RawData[Date],2)=7)*(RawData[Slot]=4))</f>
        <v>0</v>
      </c>
      <c r="G11" s="4">
        <f>SUMPRODUCT((WEEKDAY(RawData[Date],2)=7)*(RawData[Slot]=5))</f>
        <v>0</v>
      </c>
      <c r="H11" s="4">
        <f>SUMPRODUCT((WEEKDAY(RawData[Date],2)=7)*(RawData[Slot]=6))</f>
        <v>0</v>
      </c>
      <c r="I11" s="4">
        <f>SUMPRODUCT((WEEKDAY(RawData[Date],2)=7)*(RawData[Slot]=7))</f>
        <v>0</v>
      </c>
      <c r="J11" s="4">
        <f>SUMPRODUCT((WEEKDAY(RawData[Date],2)=7)*(RawData[Slot]=8))</f>
        <v>0</v>
      </c>
      <c r="K11" s="4">
        <f>SUMPRODUCT((WEEKDAY(RawData[Date],2)=7)*(RawData[Slot]=9))</f>
        <v>0</v>
      </c>
      <c r="L11" s="4">
        <f>SUMPRODUCT((WEEKDAY(RawData[Date],2)=7)*(RawData[Slot]=10))</f>
        <v>0</v>
      </c>
      <c r="M11" s="4">
        <f>SUMPRODUCT((WEEKDAY(RawData[Date],2)=7)*(RawData[Slot]=11))</f>
        <v>0</v>
      </c>
      <c r="N11" s="4">
        <f>SUMPRODUCT((WEEKDAY(RawData[Date],2)=7)*(RawData[Slot]=12))</f>
        <v>0</v>
      </c>
      <c r="O11" s="4">
        <f>SUMPRODUCT((WEEKDAY(RawData[Date],2)=7)*(RawData[Slot]=13))</f>
        <v>0</v>
      </c>
      <c r="P11" s="4">
        <f>SUMPRODUCT((WEEKDAY(RawData[Date],2)=7)*(RawData[Slot]=14))</f>
        <v>0</v>
      </c>
      <c r="Q11" s="4">
        <f>SUMPRODUCT((WEEKDAY(RawData[Date],2)=7)*(RawData[Slot]=15))</f>
        <v>0</v>
      </c>
      <c r="R11" s="4">
        <f>SUMPRODUCT((WEEKDAY(RawData[Date],2)=7)*(RawData[Slot]=16))</f>
        <v>0</v>
      </c>
      <c r="S11" s="4">
        <f>SUMPRODUCT((WEEKDAY(RawData[Date],2)=7)*(RawData[Slot]=17))</f>
        <v>0</v>
      </c>
      <c r="T11" s="4">
        <f>SUMPRODUCT((WEEKDAY(RawData[Date],2)=7)*(RawData[Slot]=18))</f>
        <v>0</v>
      </c>
      <c r="U11" s="4">
        <f>SUMPRODUCT((WEEKDAY(RawData[Date],2)=7)*(RawData[Slot]=19))</f>
        <v>0</v>
      </c>
      <c r="V11" s="4">
        <f>SUMPRODUCT((WEEKDAY(RawData[Date],2)=7)*(RawData[Slot]=20))</f>
        <v>0</v>
      </c>
      <c r="W11" s="4">
        <f>SUMPRODUCT((WEEKDAY(RawData[Date],2)=7)*(RawData[Slot]=21))</f>
        <v>0</v>
      </c>
      <c r="X11" s="4">
        <f>SUMPRODUCT((WEEKDAY(RawData[Date],2)=7)*(RawData[Slot]=22))</f>
        <v>0</v>
      </c>
      <c r="Y11" s="4">
        <f>SUMPRODUCT((WEEKDAY(RawData[Date],2)=7)*(RawData[Slot]=23))</f>
        <v>0</v>
      </c>
      <c r="Z11" s="4">
        <f>SUMPRODUCT((WEEKDAY(RawData[Date],2)=7)*(RawData[Slot]=24))</f>
        <v>0</v>
      </c>
      <c r="AA11" s="4">
        <f>SUMPRODUCT((WEEKDAY(RawData[Date],2)=7)*(RawData[Slot]=25))</f>
        <v>0</v>
      </c>
      <c r="AB11" s="4">
        <f>SUMPRODUCT((WEEKDAY(RawData[Date],2)=7)*(RawData[Slot]=26))</f>
        <v>0</v>
      </c>
      <c r="AC11" s="4">
        <f>SUMPRODUCT((WEEKDAY(RawData[Date],2)=7)*(RawData[Slot]=27))</f>
        <v>0</v>
      </c>
      <c r="AD11" s="4">
        <f>SUMPRODUCT((WEEKDAY(RawData[Date],2)=7)*(RawData[Slot]=28))</f>
        <v>0</v>
      </c>
      <c r="AE11" s="4">
        <f>SUMPRODUCT((WEEKDAY(RawData[Date],2)=7)*(RawData[Slot]=29))</f>
        <v>0</v>
      </c>
      <c r="AF11" s="4">
        <f>SUMPRODUCT((WEEKDAY(RawData[Date],2)=7)*(RawData[Slot]=30))</f>
        <v>0</v>
      </c>
      <c r="AG11" s="4">
        <f>SUMPRODUCT((WEEKDAY(RawData[Date],2)=7)*(RawData[Slot]=31))</f>
        <v>0</v>
      </c>
      <c r="AH11" s="4">
        <f>SUMPRODUCT((WEEKDAY(RawData[Date],2)=7)*(RawData[Slot]=32))</f>
        <v>0</v>
      </c>
      <c r="AI11" s="4">
        <f>SUMPRODUCT((WEEKDAY(RawData[Date],2)=7)*(RawData[Slot]=33))</f>
        <v>0</v>
      </c>
      <c r="AJ11" s="4">
        <f>SUMPRODUCT((WEEKDAY(RawData[Date],2)=7)*(RawData[Slot]=34))</f>
        <v>0</v>
      </c>
      <c r="AK11" s="4">
        <f>SUMPRODUCT((WEEKDAY(RawData[Date],2)=7)*(RawData[Slot]=35))</f>
        <v>0</v>
      </c>
      <c r="AL11" s="4">
        <f>SUMPRODUCT((WEEKDAY(RawData[Date],2)=7)*(RawData[Slot]=36))</f>
        <v>0</v>
      </c>
      <c r="AM11" s="4">
        <f>SUMPRODUCT((WEEKDAY(RawData[Date],2)=7)*(RawData[Slot]=37))</f>
        <v>0</v>
      </c>
      <c r="AN11" s="4">
        <f>SUMPRODUCT((WEEKDAY(RawData[Date],2)=7)*(RawData[Slot]=38))</f>
        <v>0</v>
      </c>
      <c r="AO11" s="4">
        <f>SUMPRODUCT((WEEKDAY(RawData[Date],2)=7)*(RawData[Slot]=39))</f>
        <v>0</v>
      </c>
      <c r="AP11" s="4">
        <f>SUMPRODUCT((WEEKDAY(RawData[Date],2)=7)*(RawData[Slot]=40))</f>
        <v>0</v>
      </c>
      <c r="AQ11" s="4">
        <f>SUMPRODUCT((WEEKDAY(RawData[Date],2)=7)*(RawData[Slot]=41))</f>
        <v>0</v>
      </c>
      <c r="AR11" s="4">
        <f>SUMPRODUCT((WEEKDAY(RawData[Date],2)=7)*(RawData[Slot]=42))</f>
        <v>0</v>
      </c>
      <c r="AS11" s="4">
        <f>SUMPRODUCT((WEEKDAY(RawData[Date],2)=7)*(RawData[Slot]=43))</f>
        <v>0</v>
      </c>
      <c r="AT11" s="4">
        <f>SUMPRODUCT((WEEKDAY(RawData[Date],2)=7)*(RawData[Slot]=44))</f>
        <v>0</v>
      </c>
      <c r="AU11" s="4">
        <f>SUMPRODUCT((WEEKDAY(RawData[Date],2)=7)*(RawData[Slot]=45))</f>
        <v>0</v>
      </c>
      <c r="AV11" s="4">
        <f>SUMPRODUCT((WEEKDAY(RawData[Date],2)=7)*(RawData[Slot]=46))</f>
        <v>0</v>
      </c>
      <c r="AW11" s="4">
        <f>SUMPRODUCT((WEEKDAY(RawData[Date],2)=7)*(RawData[Slot]=47))</f>
        <v>0</v>
      </c>
      <c r="AX11" s="4">
        <f t="shared" si="0"/>
        <v>0</v>
      </c>
    </row>
    <row r="12" spans="1:50" x14ac:dyDescent="0.25">
      <c r="A12" s="8" t="s">
        <v>82</v>
      </c>
      <c r="B12" s="8">
        <f t="shared" ref="B12:AG12" si="1">SUM(B5:B11)</f>
        <v>4</v>
      </c>
      <c r="C12" s="8">
        <f t="shared" si="1"/>
        <v>0</v>
      </c>
      <c r="D12" s="8">
        <f t="shared" si="1"/>
        <v>0</v>
      </c>
      <c r="E12" s="8">
        <f t="shared" si="1"/>
        <v>0</v>
      </c>
      <c r="F12" s="8">
        <f t="shared" si="1"/>
        <v>0</v>
      </c>
      <c r="G12" s="8">
        <f t="shared" si="1"/>
        <v>0</v>
      </c>
      <c r="H12" s="8">
        <f t="shared" si="1"/>
        <v>0</v>
      </c>
      <c r="I12" s="8">
        <f t="shared" si="1"/>
        <v>0</v>
      </c>
      <c r="J12" s="8">
        <f t="shared" si="1"/>
        <v>0</v>
      </c>
      <c r="K12" s="8">
        <f t="shared" si="1"/>
        <v>0</v>
      </c>
      <c r="L12" s="8">
        <f t="shared" si="1"/>
        <v>0</v>
      </c>
      <c r="M12" s="8">
        <f t="shared" si="1"/>
        <v>0</v>
      </c>
      <c r="N12" s="8">
        <f t="shared" si="1"/>
        <v>0</v>
      </c>
      <c r="O12" s="8">
        <f t="shared" si="1"/>
        <v>0</v>
      </c>
      <c r="P12" s="8">
        <f t="shared" si="1"/>
        <v>0</v>
      </c>
      <c r="Q12" s="8">
        <f t="shared" si="1"/>
        <v>0</v>
      </c>
      <c r="R12" s="8">
        <f t="shared" si="1"/>
        <v>0</v>
      </c>
      <c r="S12" s="8">
        <f t="shared" si="1"/>
        <v>0</v>
      </c>
      <c r="T12" s="8">
        <f t="shared" si="1"/>
        <v>0</v>
      </c>
      <c r="U12" s="8">
        <f t="shared" si="1"/>
        <v>6</v>
      </c>
      <c r="V12" s="8">
        <f t="shared" si="1"/>
        <v>3</v>
      </c>
      <c r="W12" s="8">
        <f t="shared" si="1"/>
        <v>1</v>
      </c>
      <c r="X12" s="8">
        <f t="shared" si="1"/>
        <v>2</v>
      </c>
      <c r="Y12" s="8">
        <f t="shared" si="1"/>
        <v>2</v>
      </c>
      <c r="Z12" s="8">
        <f t="shared" si="1"/>
        <v>0</v>
      </c>
      <c r="AA12" s="8">
        <f t="shared" si="1"/>
        <v>3</v>
      </c>
      <c r="AB12" s="8">
        <f t="shared" si="1"/>
        <v>1</v>
      </c>
      <c r="AC12" s="8">
        <f t="shared" si="1"/>
        <v>0</v>
      </c>
      <c r="AD12" s="8">
        <f t="shared" si="1"/>
        <v>0</v>
      </c>
      <c r="AE12" s="8">
        <f t="shared" si="1"/>
        <v>0</v>
      </c>
      <c r="AF12" s="8">
        <f t="shared" si="1"/>
        <v>0</v>
      </c>
      <c r="AG12" s="8">
        <f t="shared" si="1"/>
        <v>5</v>
      </c>
      <c r="AH12" s="8">
        <f t="shared" ref="AH12:BM12" si="2">SUM(AH5:AH11)</f>
        <v>1</v>
      </c>
      <c r="AI12" s="8">
        <f t="shared" si="2"/>
        <v>2</v>
      </c>
      <c r="AJ12" s="8">
        <f t="shared" si="2"/>
        <v>0</v>
      </c>
      <c r="AK12" s="8">
        <f t="shared" si="2"/>
        <v>0</v>
      </c>
      <c r="AL12" s="8">
        <f t="shared" si="2"/>
        <v>0</v>
      </c>
      <c r="AM12" s="8">
        <f t="shared" si="2"/>
        <v>0</v>
      </c>
      <c r="AN12" s="8">
        <f t="shared" si="2"/>
        <v>0</v>
      </c>
      <c r="AO12" s="8">
        <f t="shared" si="2"/>
        <v>0</v>
      </c>
      <c r="AP12" s="8">
        <f t="shared" si="2"/>
        <v>0</v>
      </c>
      <c r="AQ12" s="8">
        <f t="shared" si="2"/>
        <v>0</v>
      </c>
      <c r="AR12" s="8">
        <f t="shared" si="2"/>
        <v>0</v>
      </c>
      <c r="AS12" s="8">
        <f t="shared" si="2"/>
        <v>0</v>
      </c>
      <c r="AT12" s="8">
        <f t="shared" si="2"/>
        <v>0</v>
      </c>
      <c r="AU12" s="8">
        <f t="shared" si="2"/>
        <v>0</v>
      </c>
      <c r="AV12" s="8">
        <f t="shared" si="2"/>
        <v>0</v>
      </c>
      <c r="AW12" s="8">
        <f t="shared" si="2"/>
        <v>0</v>
      </c>
      <c r="AX12" s="8">
        <f t="shared" si="2"/>
        <v>30</v>
      </c>
    </row>
  </sheetData>
  <conditionalFormatting sqref="B5:AW11">
    <cfRule type="colorScale" priority="2">
      <colorScale>
        <cfvo type="num" val="0"/>
        <cfvo type="percentile" val="50"/>
        <cfvo type="max"/>
        <color rgb="FFFFFFFF"/>
        <color rgb="FFA9D08E"/>
        <color rgb="FF548235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5"/>
  <sheetViews>
    <sheetView zoomScaleNormal="100" workbookViewId="0">
      <pane ySplit="4" topLeftCell="A5" activePane="bottomLeft" state="frozen"/>
      <selection pane="bottomLeft" activeCell="A31" sqref="A31:D34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8" customWidth="1"/>
    <col min="4" max="4" width="10" customWidth="1"/>
  </cols>
  <sheetData>
    <row r="1" spans="1:4" ht="18" x14ac:dyDescent="0.25">
      <c r="A1" s="1" t="s">
        <v>150</v>
      </c>
      <c r="B1" s="4"/>
      <c r="C1" s="4"/>
      <c r="D1" s="4"/>
    </row>
    <row r="2" spans="1:4" x14ac:dyDescent="0.25">
      <c r="A2" s="5" t="s">
        <v>151</v>
      </c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6" t="s">
        <v>31</v>
      </c>
      <c r="B4" s="6" t="s">
        <v>90</v>
      </c>
      <c r="C4" s="6" t="s">
        <v>152</v>
      </c>
      <c r="D4" s="6" t="s">
        <v>153</v>
      </c>
    </row>
    <row r="5" spans="1:4" x14ac:dyDescent="0.25">
      <c r="A5" s="7">
        <v>46150</v>
      </c>
      <c r="B5" s="10">
        <v>0.40208333333333302</v>
      </c>
      <c r="C5" s="4">
        <f t="shared" ref="C5:C68" si="0">IF(B5="","",HOUR(B5)*2+IF(MINUTE(B5)&gt;=30,1,0))</f>
        <v>19</v>
      </c>
      <c r="D5" s="4">
        <v>1</v>
      </c>
    </row>
    <row r="6" spans="1:4" x14ac:dyDescent="0.25">
      <c r="A6" s="7">
        <v>46150</v>
      </c>
      <c r="B6" s="10">
        <v>0.40416666666666701</v>
      </c>
      <c r="C6" s="4">
        <f t="shared" si="0"/>
        <v>19</v>
      </c>
      <c r="D6" s="4">
        <v>2</v>
      </c>
    </row>
    <row r="7" spans="1:4" x14ac:dyDescent="0.25">
      <c r="A7" s="7">
        <v>46150</v>
      </c>
      <c r="B7" s="10">
        <v>0.40486111111111101</v>
      </c>
      <c r="C7" s="4">
        <f t="shared" si="0"/>
        <v>19</v>
      </c>
      <c r="D7" s="4">
        <v>3</v>
      </c>
    </row>
    <row r="8" spans="1:4" x14ac:dyDescent="0.25">
      <c r="A8" s="7">
        <v>46150</v>
      </c>
      <c r="B8" s="10">
        <v>0.40625</v>
      </c>
      <c r="C8" s="4">
        <f t="shared" si="0"/>
        <v>19</v>
      </c>
      <c r="D8" s="4">
        <v>4</v>
      </c>
    </row>
    <row r="9" spans="1:4" x14ac:dyDescent="0.25">
      <c r="A9" s="7">
        <v>46150</v>
      </c>
      <c r="B9" s="10">
        <v>0.41041666666666698</v>
      </c>
      <c r="C9" s="4">
        <f t="shared" si="0"/>
        <v>19</v>
      </c>
      <c r="D9" s="4">
        <v>5</v>
      </c>
    </row>
    <row r="10" spans="1:4" x14ac:dyDescent="0.25">
      <c r="A10" s="7">
        <v>46150</v>
      </c>
      <c r="B10" s="10">
        <v>0.41111111111111098</v>
      </c>
      <c r="C10" s="4">
        <f t="shared" si="0"/>
        <v>19</v>
      </c>
      <c r="D10" s="4">
        <v>6</v>
      </c>
    </row>
    <row r="11" spans="1:4" x14ac:dyDescent="0.25">
      <c r="A11" s="7">
        <v>46150</v>
      </c>
      <c r="B11" s="10">
        <v>0.41736111111111102</v>
      </c>
      <c r="C11" s="4">
        <f t="shared" si="0"/>
        <v>20</v>
      </c>
      <c r="D11" s="4">
        <v>7</v>
      </c>
    </row>
    <row r="12" spans="1:4" x14ac:dyDescent="0.25">
      <c r="A12" s="7">
        <v>46150</v>
      </c>
      <c r="B12" s="10">
        <v>0.41805555555555601</v>
      </c>
      <c r="C12" s="4">
        <f t="shared" si="0"/>
        <v>20</v>
      </c>
      <c r="D12" s="4">
        <v>8</v>
      </c>
    </row>
    <row r="13" spans="1:4" x14ac:dyDescent="0.25">
      <c r="A13" s="7">
        <v>46150</v>
      </c>
      <c r="B13" s="10">
        <v>0.42638888888888898</v>
      </c>
      <c r="C13" s="4">
        <f t="shared" si="0"/>
        <v>20</v>
      </c>
      <c r="D13" s="4">
        <v>9</v>
      </c>
    </row>
    <row r="14" spans="1:4" x14ac:dyDescent="0.25">
      <c r="A14" s="7">
        <v>46150</v>
      </c>
      <c r="B14" s="10">
        <v>0.44305555555555598</v>
      </c>
      <c r="C14" s="4">
        <f t="shared" si="0"/>
        <v>21</v>
      </c>
      <c r="D14" s="4">
        <v>10</v>
      </c>
    </row>
    <row r="15" spans="1:4" x14ac:dyDescent="0.25">
      <c r="A15" s="7">
        <v>46150</v>
      </c>
      <c r="B15" s="10">
        <v>0.468055555555556</v>
      </c>
      <c r="C15" s="4">
        <f t="shared" si="0"/>
        <v>22</v>
      </c>
      <c r="D15" s="4">
        <v>11</v>
      </c>
    </row>
    <row r="16" spans="1:4" x14ac:dyDescent="0.25">
      <c r="A16" s="7">
        <v>46150</v>
      </c>
      <c r="B16" s="10">
        <v>0.47638888888888897</v>
      </c>
      <c r="C16" s="4">
        <f t="shared" si="0"/>
        <v>22</v>
      </c>
      <c r="D16" s="4">
        <v>12</v>
      </c>
    </row>
    <row r="17" spans="1:4" x14ac:dyDescent="0.25">
      <c r="A17" s="7">
        <v>46150</v>
      </c>
      <c r="B17" s="10">
        <v>0.48263888888888901</v>
      </c>
      <c r="C17" s="4">
        <f t="shared" si="0"/>
        <v>23</v>
      </c>
      <c r="D17" s="4">
        <v>13</v>
      </c>
    </row>
    <row r="18" spans="1:4" x14ac:dyDescent="0.25">
      <c r="A18" s="7">
        <v>46150</v>
      </c>
      <c r="B18" s="10">
        <v>0.48263888888888901</v>
      </c>
      <c r="C18" s="4">
        <f t="shared" si="0"/>
        <v>23</v>
      </c>
      <c r="D18" s="4">
        <v>14</v>
      </c>
    </row>
    <row r="19" spans="1:4" x14ac:dyDescent="0.25">
      <c r="A19" s="7">
        <v>46150</v>
      </c>
      <c r="B19" s="10">
        <v>0.52361111111111103</v>
      </c>
      <c r="C19" s="4">
        <f t="shared" si="0"/>
        <v>25</v>
      </c>
      <c r="D19" s="4">
        <v>15</v>
      </c>
    </row>
    <row r="20" spans="1:4" x14ac:dyDescent="0.25">
      <c r="A20" s="7">
        <v>46150</v>
      </c>
      <c r="B20" s="10">
        <v>0.52986111111111101</v>
      </c>
      <c r="C20" s="4">
        <f t="shared" si="0"/>
        <v>25</v>
      </c>
      <c r="D20" s="4">
        <v>16</v>
      </c>
    </row>
    <row r="21" spans="1:4" x14ac:dyDescent="0.25">
      <c r="A21" s="7">
        <v>46150</v>
      </c>
      <c r="B21" s="10">
        <v>0.52986111111111101</v>
      </c>
      <c r="C21" s="4">
        <f t="shared" si="0"/>
        <v>25</v>
      </c>
      <c r="D21" s="4">
        <v>17</v>
      </c>
    </row>
    <row r="22" spans="1:4" x14ac:dyDescent="0.25">
      <c r="A22" s="7">
        <v>46150</v>
      </c>
      <c r="B22" s="10">
        <v>0.54861111111111105</v>
      </c>
      <c r="C22" s="4">
        <f t="shared" si="0"/>
        <v>26</v>
      </c>
      <c r="D22" s="4">
        <v>18</v>
      </c>
    </row>
    <row r="23" spans="1:4" x14ac:dyDescent="0.25">
      <c r="A23" s="7">
        <v>46150</v>
      </c>
      <c r="B23" s="10">
        <v>0.65208333333333302</v>
      </c>
      <c r="C23" s="4">
        <f t="shared" si="0"/>
        <v>31</v>
      </c>
      <c r="D23" s="4">
        <v>19</v>
      </c>
    </row>
    <row r="24" spans="1:4" x14ac:dyDescent="0.25">
      <c r="A24" s="7">
        <v>46150</v>
      </c>
      <c r="B24" s="10">
        <v>0.65208333333333302</v>
      </c>
      <c r="C24" s="4">
        <f t="shared" si="0"/>
        <v>31</v>
      </c>
      <c r="D24" s="4">
        <v>20</v>
      </c>
    </row>
    <row r="25" spans="1:4" x14ac:dyDescent="0.25">
      <c r="A25" s="7">
        <v>46150</v>
      </c>
      <c r="B25" s="10">
        <v>0.65208333333333302</v>
      </c>
      <c r="C25" s="4">
        <f t="shared" si="0"/>
        <v>31</v>
      </c>
      <c r="D25" s="4">
        <v>21</v>
      </c>
    </row>
    <row r="26" spans="1:4" x14ac:dyDescent="0.25">
      <c r="A26" s="7">
        <v>46150</v>
      </c>
      <c r="B26" s="10">
        <v>0.65208333333333302</v>
      </c>
      <c r="C26" s="4">
        <f t="shared" si="0"/>
        <v>31</v>
      </c>
      <c r="D26" s="4">
        <v>22</v>
      </c>
    </row>
    <row r="27" spans="1:4" x14ac:dyDescent="0.25">
      <c r="A27" s="7">
        <v>46150</v>
      </c>
      <c r="B27" s="10">
        <v>0.65208333333333302</v>
      </c>
      <c r="C27" s="4">
        <f t="shared" si="0"/>
        <v>31</v>
      </c>
      <c r="D27" s="4">
        <v>23</v>
      </c>
    </row>
    <row r="28" spans="1:4" x14ac:dyDescent="0.25">
      <c r="A28" s="7">
        <v>46150</v>
      </c>
      <c r="B28" s="10">
        <v>0.66666666666666696</v>
      </c>
      <c r="C28" s="4">
        <f t="shared" si="0"/>
        <v>32</v>
      </c>
      <c r="D28" s="4">
        <v>24</v>
      </c>
    </row>
    <row r="29" spans="1:4" x14ac:dyDescent="0.25">
      <c r="A29" s="7">
        <v>46150</v>
      </c>
      <c r="B29" s="10">
        <v>0.70625000000000004</v>
      </c>
      <c r="C29" s="4">
        <f t="shared" si="0"/>
        <v>33</v>
      </c>
      <c r="D29" s="4">
        <v>25</v>
      </c>
    </row>
    <row r="30" spans="1:4" x14ac:dyDescent="0.25">
      <c r="A30" s="7">
        <v>46150</v>
      </c>
      <c r="B30" s="10">
        <v>0.70625000000000004</v>
      </c>
      <c r="C30" s="4">
        <f t="shared" si="0"/>
        <v>33</v>
      </c>
      <c r="D30" s="4">
        <v>26</v>
      </c>
    </row>
    <row r="31" spans="1:4" x14ac:dyDescent="0.25">
      <c r="A31" s="7"/>
      <c r="B31" s="10"/>
      <c r="C31" s="4"/>
      <c r="D31" s="4"/>
    </row>
    <row r="32" spans="1:4" x14ac:dyDescent="0.25">
      <c r="A32" s="7"/>
      <c r="B32" s="10"/>
      <c r="C32" s="4"/>
      <c r="D32" s="4"/>
    </row>
    <row r="33" spans="1:4" x14ac:dyDescent="0.25">
      <c r="A33" s="7"/>
      <c r="B33" s="10"/>
      <c r="C33" s="4"/>
      <c r="D33" s="4"/>
    </row>
    <row r="34" spans="1:4" x14ac:dyDescent="0.25">
      <c r="A34" s="7"/>
      <c r="B34" s="10"/>
      <c r="C34" s="4"/>
      <c r="D34" s="4"/>
    </row>
    <row r="35" spans="1:4" x14ac:dyDescent="0.25">
      <c r="A35" s="7"/>
      <c r="B35" s="10"/>
      <c r="C35" s="4" t="str">
        <f t="shared" si="0"/>
        <v/>
      </c>
      <c r="D35" s="4"/>
    </row>
    <row r="36" spans="1:4" x14ac:dyDescent="0.25">
      <c r="A36" s="7"/>
      <c r="B36" s="10"/>
      <c r="C36" s="4" t="str">
        <f t="shared" si="0"/>
        <v/>
      </c>
      <c r="D36" s="4"/>
    </row>
    <row r="37" spans="1:4" x14ac:dyDescent="0.25">
      <c r="A37" s="7"/>
      <c r="B37" s="10"/>
      <c r="C37" s="4" t="str">
        <f t="shared" si="0"/>
        <v/>
      </c>
      <c r="D37" s="4"/>
    </row>
    <row r="38" spans="1:4" x14ac:dyDescent="0.25">
      <c r="A38" s="7"/>
      <c r="B38" s="10"/>
      <c r="C38" s="4" t="str">
        <f t="shared" si="0"/>
        <v/>
      </c>
      <c r="D38" s="4"/>
    </row>
    <row r="39" spans="1:4" x14ac:dyDescent="0.25">
      <c r="A39" s="7"/>
      <c r="B39" s="10"/>
      <c r="C39" s="4" t="str">
        <f t="shared" si="0"/>
        <v/>
      </c>
      <c r="D39" s="4"/>
    </row>
    <row r="40" spans="1:4" x14ac:dyDescent="0.25">
      <c r="A40" s="7"/>
      <c r="B40" s="10"/>
      <c r="C40" s="4" t="str">
        <f t="shared" si="0"/>
        <v/>
      </c>
      <c r="D40" s="4"/>
    </row>
    <row r="41" spans="1:4" x14ac:dyDescent="0.25">
      <c r="A41" s="7"/>
      <c r="B41" s="10"/>
      <c r="C41" s="4" t="str">
        <f t="shared" si="0"/>
        <v/>
      </c>
      <c r="D41" s="4"/>
    </row>
    <row r="42" spans="1:4" x14ac:dyDescent="0.25">
      <c r="A42" s="7"/>
      <c r="B42" s="10"/>
      <c r="C42" s="4" t="str">
        <f t="shared" si="0"/>
        <v/>
      </c>
      <c r="D42" s="4"/>
    </row>
    <row r="43" spans="1:4" x14ac:dyDescent="0.25">
      <c r="A43" s="7"/>
      <c r="B43" s="10"/>
      <c r="C43" s="4" t="str">
        <f t="shared" si="0"/>
        <v/>
      </c>
      <c r="D43" s="4"/>
    </row>
    <row r="44" spans="1:4" x14ac:dyDescent="0.25">
      <c r="A44" s="7"/>
      <c r="B44" s="10"/>
      <c r="C44" s="4" t="str">
        <f t="shared" si="0"/>
        <v/>
      </c>
      <c r="D44" s="4"/>
    </row>
    <row r="45" spans="1:4" x14ac:dyDescent="0.25">
      <c r="A45" s="7"/>
      <c r="B45" s="10"/>
      <c r="C45" s="4" t="str">
        <f t="shared" si="0"/>
        <v/>
      </c>
      <c r="D45" s="4"/>
    </row>
    <row r="46" spans="1:4" x14ac:dyDescent="0.25">
      <c r="A46" s="7"/>
      <c r="B46" s="10"/>
      <c r="C46" s="4" t="str">
        <f t="shared" si="0"/>
        <v/>
      </c>
      <c r="D46" s="4"/>
    </row>
    <row r="47" spans="1:4" x14ac:dyDescent="0.25">
      <c r="A47" s="7"/>
      <c r="B47" s="10"/>
      <c r="C47" s="4" t="str">
        <f t="shared" si="0"/>
        <v/>
      </c>
      <c r="D47" s="4"/>
    </row>
    <row r="48" spans="1:4" x14ac:dyDescent="0.25">
      <c r="A48" s="7"/>
      <c r="B48" s="10"/>
      <c r="C48" s="4" t="str">
        <f t="shared" si="0"/>
        <v/>
      </c>
      <c r="D48" s="4"/>
    </row>
    <row r="49" spans="1:4" x14ac:dyDescent="0.25">
      <c r="A49" s="7"/>
      <c r="B49" s="10"/>
      <c r="C49" s="4" t="str">
        <f t="shared" si="0"/>
        <v/>
      </c>
      <c r="D49" s="4"/>
    </row>
    <row r="50" spans="1:4" x14ac:dyDescent="0.25">
      <c r="A50" s="7"/>
      <c r="B50" s="10"/>
      <c r="C50" s="4" t="str">
        <f t="shared" si="0"/>
        <v/>
      </c>
      <c r="D50" s="4"/>
    </row>
    <row r="51" spans="1:4" x14ac:dyDescent="0.25">
      <c r="A51" s="7"/>
      <c r="B51" s="10"/>
      <c r="C51" s="4" t="str">
        <f t="shared" si="0"/>
        <v/>
      </c>
      <c r="D51" s="4"/>
    </row>
    <row r="52" spans="1:4" x14ac:dyDescent="0.25">
      <c r="A52" s="7"/>
      <c r="B52" s="10"/>
      <c r="C52" s="4" t="str">
        <f t="shared" si="0"/>
        <v/>
      </c>
      <c r="D52" s="4"/>
    </row>
    <row r="53" spans="1:4" x14ac:dyDescent="0.25">
      <c r="A53" s="7"/>
      <c r="B53" s="10"/>
      <c r="C53" s="4" t="str">
        <f t="shared" si="0"/>
        <v/>
      </c>
      <c r="D53" s="4"/>
    </row>
    <row r="54" spans="1:4" x14ac:dyDescent="0.25">
      <c r="A54" s="7"/>
      <c r="B54" s="10"/>
      <c r="C54" s="4" t="str">
        <f t="shared" si="0"/>
        <v/>
      </c>
      <c r="D54" s="4"/>
    </row>
    <row r="55" spans="1:4" x14ac:dyDescent="0.25">
      <c r="A55" s="7"/>
      <c r="B55" s="10"/>
      <c r="C55" s="4" t="str">
        <f t="shared" si="0"/>
        <v/>
      </c>
      <c r="D55" s="4"/>
    </row>
    <row r="56" spans="1:4" x14ac:dyDescent="0.25">
      <c r="A56" s="7"/>
      <c r="B56" s="10"/>
      <c r="C56" s="4" t="str">
        <f t="shared" si="0"/>
        <v/>
      </c>
      <c r="D56" s="4"/>
    </row>
    <row r="57" spans="1:4" x14ac:dyDescent="0.25">
      <c r="A57" s="7"/>
      <c r="B57" s="10"/>
      <c r="C57" s="4" t="str">
        <f t="shared" si="0"/>
        <v/>
      </c>
      <c r="D57" s="4"/>
    </row>
    <row r="58" spans="1:4" x14ac:dyDescent="0.25">
      <c r="A58" s="7"/>
      <c r="B58" s="10"/>
      <c r="C58" s="4" t="str">
        <f t="shared" si="0"/>
        <v/>
      </c>
      <c r="D58" s="4"/>
    </row>
    <row r="59" spans="1:4" x14ac:dyDescent="0.25">
      <c r="A59" s="7"/>
      <c r="B59" s="10"/>
      <c r="C59" s="4" t="str">
        <f t="shared" si="0"/>
        <v/>
      </c>
      <c r="D59" s="4"/>
    </row>
    <row r="60" spans="1:4" x14ac:dyDescent="0.25">
      <c r="A60" s="7"/>
      <c r="B60" s="10"/>
      <c r="C60" s="4" t="str">
        <f t="shared" si="0"/>
        <v/>
      </c>
      <c r="D60" s="4"/>
    </row>
    <row r="61" spans="1:4" x14ac:dyDescent="0.25">
      <c r="A61" s="7"/>
      <c r="B61" s="10"/>
      <c r="C61" s="4" t="str">
        <f t="shared" si="0"/>
        <v/>
      </c>
      <c r="D61" s="4"/>
    </row>
    <row r="62" spans="1:4" x14ac:dyDescent="0.25">
      <c r="A62" s="7"/>
      <c r="B62" s="10"/>
      <c r="C62" s="4" t="str">
        <f t="shared" si="0"/>
        <v/>
      </c>
      <c r="D62" s="4"/>
    </row>
    <row r="63" spans="1:4" x14ac:dyDescent="0.25">
      <c r="A63" s="7"/>
      <c r="B63" s="10"/>
      <c r="C63" s="4" t="str">
        <f t="shared" si="0"/>
        <v/>
      </c>
      <c r="D63" s="4"/>
    </row>
    <row r="64" spans="1:4" x14ac:dyDescent="0.25">
      <c r="A64" s="7"/>
      <c r="B64" s="10"/>
      <c r="C64" s="4" t="str">
        <f t="shared" si="0"/>
        <v/>
      </c>
      <c r="D64" s="4"/>
    </row>
    <row r="65" spans="1:4" x14ac:dyDescent="0.25">
      <c r="A65" s="7"/>
      <c r="B65" s="10"/>
      <c r="C65" s="4" t="str">
        <f t="shared" si="0"/>
        <v/>
      </c>
      <c r="D65" s="4"/>
    </row>
    <row r="66" spans="1:4" x14ac:dyDescent="0.25">
      <c r="A66" s="7"/>
      <c r="B66" s="10"/>
      <c r="C66" s="4" t="str">
        <f t="shared" si="0"/>
        <v/>
      </c>
      <c r="D66" s="4"/>
    </row>
    <row r="67" spans="1:4" x14ac:dyDescent="0.25">
      <c r="A67" s="7"/>
      <c r="B67" s="10"/>
      <c r="C67" s="4" t="str">
        <f t="shared" si="0"/>
        <v/>
      </c>
      <c r="D67" s="4"/>
    </row>
    <row r="68" spans="1:4" x14ac:dyDescent="0.25">
      <c r="A68" s="7"/>
      <c r="B68" s="10"/>
      <c r="C68" s="4" t="str">
        <f t="shared" si="0"/>
        <v/>
      </c>
      <c r="D68" s="4"/>
    </row>
    <row r="69" spans="1:4" x14ac:dyDescent="0.25">
      <c r="A69" s="7"/>
      <c r="B69" s="10"/>
      <c r="C69" s="4" t="str">
        <f t="shared" ref="C69:C132" si="1">IF(B69="","",HOUR(B69)*2+IF(MINUTE(B69)&gt;=30,1,0))</f>
        <v/>
      </c>
      <c r="D69" s="4"/>
    </row>
    <row r="70" spans="1:4" x14ac:dyDescent="0.25">
      <c r="A70" s="7"/>
      <c r="B70" s="10"/>
      <c r="C70" s="4" t="str">
        <f t="shared" si="1"/>
        <v/>
      </c>
      <c r="D70" s="4"/>
    </row>
    <row r="71" spans="1:4" x14ac:dyDescent="0.25">
      <c r="A71" s="7"/>
      <c r="B71" s="10"/>
      <c r="C71" s="4" t="str">
        <f t="shared" si="1"/>
        <v/>
      </c>
      <c r="D71" s="4"/>
    </row>
    <row r="72" spans="1:4" x14ac:dyDescent="0.25">
      <c r="A72" s="7"/>
      <c r="B72" s="10"/>
      <c r="C72" s="4" t="str">
        <f t="shared" si="1"/>
        <v/>
      </c>
      <c r="D72" s="4"/>
    </row>
    <row r="73" spans="1:4" x14ac:dyDescent="0.25">
      <c r="A73" s="7"/>
      <c r="B73" s="10"/>
      <c r="C73" s="4" t="str">
        <f t="shared" si="1"/>
        <v/>
      </c>
      <c r="D73" s="4"/>
    </row>
    <row r="74" spans="1:4" x14ac:dyDescent="0.25">
      <c r="A74" s="7"/>
      <c r="B74" s="10"/>
      <c r="C74" s="4" t="str">
        <f t="shared" si="1"/>
        <v/>
      </c>
      <c r="D74" s="4"/>
    </row>
    <row r="75" spans="1:4" x14ac:dyDescent="0.25">
      <c r="A75" s="7"/>
      <c r="B75" s="10"/>
      <c r="C75" s="4" t="str">
        <f t="shared" si="1"/>
        <v/>
      </c>
      <c r="D75" s="4"/>
    </row>
    <row r="76" spans="1:4" x14ac:dyDescent="0.25">
      <c r="A76" s="7"/>
      <c r="B76" s="10"/>
      <c r="C76" s="4" t="str">
        <f t="shared" si="1"/>
        <v/>
      </c>
      <c r="D76" s="4"/>
    </row>
    <row r="77" spans="1:4" x14ac:dyDescent="0.25">
      <c r="A77" s="7"/>
      <c r="B77" s="10"/>
      <c r="C77" s="4" t="str">
        <f t="shared" si="1"/>
        <v/>
      </c>
      <c r="D77" s="4"/>
    </row>
    <row r="78" spans="1:4" x14ac:dyDescent="0.25">
      <c r="A78" s="7"/>
      <c r="B78" s="10"/>
      <c r="C78" s="4" t="str">
        <f t="shared" si="1"/>
        <v/>
      </c>
      <c r="D78" s="4"/>
    </row>
    <row r="79" spans="1:4" x14ac:dyDescent="0.25">
      <c r="A79" s="7"/>
      <c r="B79" s="10"/>
      <c r="C79" s="4" t="str">
        <f t="shared" si="1"/>
        <v/>
      </c>
      <c r="D79" s="4"/>
    </row>
    <row r="80" spans="1:4" x14ac:dyDescent="0.25">
      <c r="A80" s="7"/>
      <c r="B80" s="10"/>
      <c r="C80" s="4" t="str">
        <f t="shared" si="1"/>
        <v/>
      </c>
      <c r="D80" s="4"/>
    </row>
    <row r="81" spans="1:4" x14ac:dyDescent="0.25">
      <c r="A81" s="7"/>
      <c r="B81" s="10"/>
      <c r="C81" s="4" t="str">
        <f t="shared" si="1"/>
        <v/>
      </c>
      <c r="D81" s="4"/>
    </row>
    <row r="82" spans="1:4" x14ac:dyDescent="0.25">
      <c r="A82" s="7"/>
      <c r="B82" s="10"/>
      <c r="C82" s="4" t="str">
        <f t="shared" si="1"/>
        <v/>
      </c>
      <c r="D82" s="4"/>
    </row>
    <row r="83" spans="1:4" x14ac:dyDescent="0.25">
      <c r="A83" s="7"/>
      <c r="B83" s="10"/>
      <c r="C83" s="4" t="str">
        <f t="shared" si="1"/>
        <v/>
      </c>
      <c r="D83" s="4"/>
    </row>
    <row r="84" spans="1:4" x14ac:dyDescent="0.25">
      <c r="A84" s="7"/>
      <c r="B84" s="10"/>
      <c r="C84" s="4" t="str">
        <f t="shared" si="1"/>
        <v/>
      </c>
      <c r="D84" s="4"/>
    </row>
    <row r="85" spans="1:4" x14ac:dyDescent="0.25">
      <c r="A85" s="7"/>
      <c r="B85" s="10"/>
      <c r="C85" s="4" t="str">
        <f t="shared" si="1"/>
        <v/>
      </c>
      <c r="D85" s="4"/>
    </row>
    <row r="86" spans="1:4" x14ac:dyDescent="0.25">
      <c r="A86" s="7"/>
      <c r="B86" s="10"/>
      <c r="C86" s="4" t="str">
        <f t="shared" si="1"/>
        <v/>
      </c>
      <c r="D86" s="4"/>
    </row>
    <row r="87" spans="1:4" x14ac:dyDescent="0.25">
      <c r="A87" s="7"/>
      <c r="B87" s="10"/>
      <c r="C87" s="4" t="str">
        <f t="shared" si="1"/>
        <v/>
      </c>
      <c r="D87" s="4"/>
    </row>
    <row r="88" spans="1:4" x14ac:dyDescent="0.25">
      <c r="A88" s="7"/>
      <c r="B88" s="10"/>
      <c r="C88" s="4" t="str">
        <f t="shared" si="1"/>
        <v/>
      </c>
      <c r="D88" s="4"/>
    </row>
    <row r="89" spans="1:4" x14ac:dyDescent="0.25">
      <c r="A89" s="7"/>
      <c r="B89" s="10"/>
      <c r="C89" s="4" t="str">
        <f t="shared" si="1"/>
        <v/>
      </c>
      <c r="D89" s="4"/>
    </row>
    <row r="90" spans="1:4" x14ac:dyDescent="0.25">
      <c r="A90" s="7"/>
      <c r="B90" s="10"/>
      <c r="C90" s="4" t="str">
        <f t="shared" si="1"/>
        <v/>
      </c>
      <c r="D90" s="4"/>
    </row>
    <row r="91" spans="1:4" x14ac:dyDescent="0.25">
      <c r="A91" s="7"/>
      <c r="B91" s="10"/>
      <c r="C91" s="4" t="str">
        <f t="shared" si="1"/>
        <v/>
      </c>
      <c r="D91" s="4"/>
    </row>
    <row r="92" spans="1:4" x14ac:dyDescent="0.25">
      <c r="A92" s="7"/>
      <c r="B92" s="10"/>
      <c r="C92" s="4" t="str">
        <f t="shared" si="1"/>
        <v/>
      </c>
      <c r="D92" s="4"/>
    </row>
    <row r="93" spans="1:4" x14ac:dyDescent="0.25">
      <c r="A93" s="7"/>
      <c r="B93" s="10"/>
      <c r="C93" s="4" t="str">
        <f t="shared" si="1"/>
        <v/>
      </c>
      <c r="D93" s="4"/>
    </row>
    <row r="94" spans="1:4" x14ac:dyDescent="0.25">
      <c r="A94" s="7"/>
      <c r="B94" s="10"/>
      <c r="C94" s="4" t="str">
        <f t="shared" si="1"/>
        <v/>
      </c>
      <c r="D94" s="4"/>
    </row>
    <row r="95" spans="1:4" x14ac:dyDescent="0.25">
      <c r="A95" s="7"/>
      <c r="B95" s="10"/>
      <c r="C95" s="4" t="str">
        <f t="shared" si="1"/>
        <v/>
      </c>
      <c r="D95" s="4"/>
    </row>
    <row r="96" spans="1:4" x14ac:dyDescent="0.25">
      <c r="A96" s="7"/>
      <c r="B96" s="10"/>
      <c r="C96" s="4" t="str">
        <f t="shared" si="1"/>
        <v/>
      </c>
      <c r="D96" s="4"/>
    </row>
    <row r="97" spans="1:4" x14ac:dyDescent="0.25">
      <c r="A97" s="7"/>
      <c r="B97" s="10"/>
      <c r="C97" s="4" t="str">
        <f t="shared" si="1"/>
        <v/>
      </c>
      <c r="D97" s="4"/>
    </row>
    <row r="98" spans="1:4" x14ac:dyDescent="0.25">
      <c r="A98" s="7"/>
      <c r="B98" s="10"/>
      <c r="C98" s="4" t="str">
        <f t="shared" si="1"/>
        <v/>
      </c>
      <c r="D98" s="4"/>
    </row>
    <row r="99" spans="1:4" x14ac:dyDescent="0.25">
      <c r="A99" s="7"/>
      <c r="B99" s="10"/>
      <c r="C99" s="4" t="str">
        <f t="shared" si="1"/>
        <v/>
      </c>
      <c r="D99" s="4"/>
    </row>
    <row r="100" spans="1:4" x14ac:dyDescent="0.25">
      <c r="A100" s="7"/>
      <c r="B100" s="10"/>
      <c r="C100" s="4" t="str">
        <f t="shared" si="1"/>
        <v/>
      </c>
      <c r="D100" s="4"/>
    </row>
    <row r="101" spans="1:4" x14ac:dyDescent="0.25">
      <c r="A101" s="7"/>
      <c r="B101" s="10"/>
      <c r="C101" s="4" t="str">
        <f t="shared" si="1"/>
        <v/>
      </c>
      <c r="D101" s="4"/>
    </row>
    <row r="102" spans="1:4" x14ac:dyDescent="0.25">
      <c r="A102" s="7"/>
      <c r="B102" s="10"/>
      <c r="C102" s="4" t="str">
        <f t="shared" si="1"/>
        <v/>
      </c>
      <c r="D102" s="4"/>
    </row>
    <row r="103" spans="1:4" x14ac:dyDescent="0.25">
      <c r="A103" s="7"/>
      <c r="B103" s="10"/>
      <c r="C103" s="4" t="str">
        <f t="shared" si="1"/>
        <v/>
      </c>
      <c r="D103" s="4"/>
    </row>
    <row r="104" spans="1:4" x14ac:dyDescent="0.25">
      <c r="A104" s="7"/>
      <c r="B104" s="10"/>
      <c r="C104" s="4" t="str">
        <f t="shared" si="1"/>
        <v/>
      </c>
      <c r="D104" s="4"/>
    </row>
    <row r="105" spans="1:4" x14ac:dyDescent="0.25">
      <c r="A105" s="7"/>
      <c r="B105" s="10"/>
      <c r="C105" s="4" t="str">
        <f t="shared" si="1"/>
        <v/>
      </c>
      <c r="D105" s="4"/>
    </row>
    <row r="106" spans="1:4" x14ac:dyDescent="0.25">
      <c r="A106" s="7"/>
      <c r="B106" s="10"/>
      <c r="C106" s="4" t="str">
        <f t="shared" si="1"/>
        <v/>
      </c>
      <c r="D106" s="4"/>
    </row>
    <row r="107" spans="1:4" x14ac:dyDescent="0.25">
      <c r="A107" s="7"/>
      <c r="B107" s="10"/>
      <c r="C107" s="4" t="str">
        <f t="shared" si="1"/>
        <v/>
      </c>
      <c r="D107" s="4"/>
    </row>
    <row r="108" spans="1:4" x14ac:dyDescent="0.25">
      <c r="A108" s="7"/>
      <c r="B108" s="10"/>
      <c r="C108" s="4" t="str">
        <f t="shared" si="1"/>
        <v/>
      </c>
      <c r="D108" s="4"/>
    </row>
    <row r="109" spans="1:4" x14ac:dyDescent="0.25">
      <c r="A109" s="7"/>
      <c r="B109" s="10"/>
      <c r="C109" s="4" t="str">
        <f t="shared" si="1"/>
        <v/>
      </c>
      <c r="D109" s="4"/>
    </row>
    <row r="110" spans="1:4" x14ac:dyDescent="0.25">
      <c r="A110" s="7"/>
      <c r="B110" s="10"/>
      <c r="C110" s="4" t="str">
        <f t="shared" si="1"/>
        <v/>
      </c>
      <c r="D110" s="4"/>
    </row>
    <row r="111" spans="1:4" x14ac:dyDescent="0.25">
      <c r="A111" s="7"/>
      <c r="B111" s="10"/>
      <c r="C111" s="4" t="str">
        <f t="shared" si="1"/>
        <v/>
      </c>
      <c r="D111" s="4"/>
    </row>
    <row r="112" spans="1:4" x14ac:dyDescent="0.25">
      <c r="A112" s="7"/>
      <c r="B112" s="10"/>
      <c r="C112" s="4" t="str">
        <f t="shared" si="1"/>
        <v/>
      </c>
      <c r="D112" s="4"/>
    </row>
    <row r="113" spans="1:4" x14ac:dyDescent="0.25">
      <c r="A113" s="7"/>
      <c r="B113" s="10"/>
      <c r="C113" s="4" t="str">
        <f t="shared" si="1"/>
        <v/>
      </c>
      <c r="D113" s="4"/>
    </row>
    <row r="114" spans="1:4" x14ac:dyDescent="0.25">
      <c r="A114" s="7"/>
      <c r="B114" s="10"/>
      <c r="C114" s="4" t="str">
        <f t="shared" si="1"/>
        <v/>
      </c>
      <c r="D114" s="4"/>
    </row>
    <row r="115" spans="1:4" x14ac:dyDescent="0.25">
      <c r="A115" s="7"/>
      <c r="B115" s="10"/>
      <c r="C115" s="4" t="str">
        <f t="shared" si="1"/>
        <v/>
      </c>
      <c r="D115" s="4"/>
    </row>
    <row r="116" spans="1:4" x14ac:dyDescent="0.25">
      <c r="A116" s="7"/>
      <c r="B116" s="10"/>
      <c r="C116" s="4" t="str">
        <f t="shared" si="1"/>
        <v/>
      </c>
      <c r="D116" s="4"/>
    </row>
    <row r="117" spans="1:4" x14ac:dyDescent="0.25">
      <c r="A117" s="7"/>
      <c r="B117" s="10"/>
      <c r="C117" s="4" t="str">
        <f t="shared" si="1"/>
        <v/>
      </c>
      <c r="D117" s="4"/>
    </row>
    <row r="118" spans="1:4" x14ac:dyDescent="0.25">
      <c r="A118" s="7"/>
      <c r="B118" s="10"/>
      <c r="C118" s="4" t="str">
        <f t="shared" si="1"/>
        <v/>
      </c>
      <c r="D118" s="4"/>
    </row>
    <row r="119" spans="1:4" x14ac:dyDescent="0.25">
      <c r="A119" s="7"/>
      <c r="B119" s="10"/>
      <c r="C119" s="4" t="str">
        <f t="shared" si="1"/>
        <v/>
      </c>
      <c r="D119" s="4"/>
    </row>
    <row r="120" spans="1:4" x14ac:dyDescent="0.25">
      <c r="A120" s="7"/>
      <c r="B120" s="10"/>
      <c r="C120" s="4" t="str">
        <f t="shared" si="1"/>
        <v/>
      </c>
      <c r="D120" s="4"/>
    </row>
    <row r="121" spans="1:4" x14ac:dyDescent="0.25">
      <c r="A121" s="7"/>
      <c r="B121" s="10"/>
      <c r="C121" s="4" t="str">
        <f t="shared" si="1"/>
        <v/>
      </c>
      <c r="D121" s="4"/>
    </row>
    <row r="122" spans="1:4" x14ac:dyDescent="0.25">
      <c r="A122" s="7"/>
      <c r="B122" s="10"/>
      <c r="C122" s="4" t="str">
        <f t="shared" si="1"/>
        <v/>
      </c>
      <c r="D122" s="4"/>
    </row>
    <row r="123" spans="1:4" x14ac:dyDescent="0.25">
      <c r="A123" s="7"/>
      <c r="B123" s="10"/>
      <c r="C123" s="4" t="str">
        <f t="shared" si="1"/>
        <v/>
      </c>
      <c r="D123" s="4"/>
    </row>
    <row r="124" spans="1:4" x14ac:dyDescent="0.25">
      <c r="A124" s="7"/>
      <c r="B124" s="10"/>
      <c r="C124" s="4" t="str">
        <f t="shared" si="1"/>
        <v/>
      </c>
      <c r="D124" s="4"/>
    </row>
    <row r="125" spans="1:4" x14ac:dyDescent="0.25">
      <c r="A125" s="7"/>
      <c r="B125" s="10"/>
      <c r="C125" s="4" t="str">
        <f t="shared" si="1"/>
        <v/>
      </c>
      <c r="D125" s="4"/>
    </row>
    <row r="126" spans="1:4" x14ac:dyDescent="0.25">
      <c r="A126" s="7"/>
      <c r="B126" s="10"/>
      <c r="C126" s="4" t="str">
        <f t="shared" si="1"/>
        <v/>
      </c>
      <c r="D126" s="4"/>
    </row>
    <row r="127" spans="1:4" x14ac:dyDescent="0.25">
      <c r="A127" s="7"/>
      <c r="B127" s="10"/>
      <c r="C127" s="4" t="str">
        <f t="shared" si="1"/>
        <v/>
      </c>
      <c r="D127" s="4"/>
    </row>
    <row r="128" spans="1:4" x14ac:dyDescent="0.25">
      <c r="A128" s="7"/>
      <c r="B128" s="10"/>
      <c r="C128" s="4" t="str">
        <f t="shared" si="1"/>
        <v/>
      </c>
      <c r="D128" s="4"/>
    </row>
    <row r="129" spans="1:4" x14ac:dyDescent="0.25">
      <c r="A129" s="7"/>
      <c r="B129" s="10"/>
      <c r="C129" s="4" t="str">
        <f t="shared" si="1"/>
        <v/>
      </c>
      <c r="D129" s="4"/>
    </row>
    <row r="130" spans="1:4" x14ac:dyDescent="0.25">
      <c r="A130" s="7"/>
      <c r="B130" s="10"/>
      <c r="C130" s="4" t="str">
        <f t="shared" si="1"/>
        <v/>
      </c>
      <c r="D130" s="4"/>
    </row>
    <row r="131" spans="1:4" x14ac:dyDescent="0.25">
      <c r="A131" s="7"/>
      <c r="B131" s="10"/>
      <c r="C131" s="4" t="str">
        <f t="shared" si="1"/>
        <v/>
      </c>
      <c r="D131" s="4"/>
    </row>
    <row r="132" spans="1:4" x14ac:dyDescent="0.25">
      <c r="A132" s="7"/>
      <c r="B132" s="10"/>
      <c r="C132" s="4" t="str">
        <f t="shared" si="1"/>
        <v/>
      </c>
      <c r="D132" s="4"/>
    </row>
    <row r="133" spans="1:4" x14ac:dyDescent="0.25">
      <c r="A133" s="7"/>
      <c r="B133" s="10"/>
      <c r="C133" s="4" t="str">
        <f t="shared" ref="C133:C196" si="2">IF(B133="","",HOUR(B133)*2+IF(MINUTE(B133)&gt;=30,1,0))</f>
        <v/>
      </c>
      <c r="D133" s="4"/>
    </row>
    <row r="134" spans="1:4" x14ac:dyDescent="0.25">
      <c r="A134" s="7"/>
      <c r="B134" s="10"/>
      <c r="C134" s="4" t="str">
        <f t="shared" si="2"/>
        <v/>
      </c>
      <c r="D134" s="4"/>
    </row>
    <row r="135" spans="1:4" x14ac:dyDescent="0.25">
      <c r="A135" s="7"/>
      <c r="B135" s="10"/>
      <c r="C135" s="4" t="str">
        <f t="shared" si="2"/>
        <v/>
      </c>
      <c r="D135" s="4"/>
    </row>
    <row r="136" spans="1:4" x14ac:dyDescent="0.25">
      <c r="A136" s="7"/>
      <c r="B136" s="10"/>
      <c r="C136" s="4" t="str">
        <f t="shared" si="2"/>
        <v/>
      </c>
      <c r="D136" s="4"/>
    </row>
    <row r="137" spans="1:4" x14ac:dyDescent="0.25">
      <c r="A137" s="7"/>
      <c r="B137" s="10"/>
      <c r="C137" s="4" t="str">
        <f t="shared" si="2"/>
        <v/>
      </c>
      <c r="D137" s="4"/>
    </row>
    <row r="138" spans="1:4" x14ac:dyDescent="0.25">
      <c r="A138" s="7"/>
      <c r="B138" s="10"/>
      <c r="C138" s="4" t="str">
        <f t="shared" si="2"/>
        <v/>
      </c>
      <c r="D138" s="4"/>
    </row>
    <row r="139" spans="1:4" x14ac:dyDescent="0.25">
      <c r="A139" s="7"/>
      <c r="B139" s="10"/>
      <c r="C139" s="4" t="str">
        <f t="shared" si="2"/>
        <v/>
      </c>
      <c r="D139" s="4"/>
    </row>
    <row r="140" spans="1:4" x14ac:dyDescent="0.25">
      <c r="A140" s="7"/>
      <c r="B140" s="10"/>
      <c r="C140" s="4" t="str">
        <f t="shared" si="2"/>
        <v/>
      </c>
      <c r="D140" s="4"/>
    </row>
    <row r="141" spans="1:4" x14ac:dyDescent="0.25">
      <c r="A141" s="7"/>
      <c r="B141" s="10"/>
      <c r="C141" s="4" t="str">
        <f t="shared" si="2"/>
        <v/>
      </c>
      <c r="D141" s="4"/>
    </row>
    <row r="142" spans="1:4" x14ac:dyDescent="0.25">
      <c r="A142" s="7"/>
      <c r="B142" s="10"/>
      <c r="C142" s="4" t="str">
        <f t="shared" si="2"/>
        <v/>
      </c>
      <c r="D142" s="4"/>
    </row>
    <row r="143" spans="1:4" x14ac:dyDescent="0.25">
      <c r="A143" s="7"/>
      <c r="B143" s="10"/>
      <c r="C143" s="4" t="str">
        <f t="shared" si="2"/>
        <v/>
      </c>
      <c r="D143" s="4"/>
    </row>
    <row r="144" spans="1:4" x14ac:dyDescent="0.25">
      <c r="A144" s="7"/>
      <c r="B144" s="10"/>
      <c r="C144" s="4" t="str">
        <f t="shared" si="2"/>
        <v/>
      </c>
      <c r="D144" s="4"/>
    </row>
    <row r="145" spans="1:4" x14ac:dyDescent="0.25">
      <c r="A145" s="7"/>
      <c r="B145" s="10"/>
      <c r="C145" s="4" t="str">
        <f t="shared" si="2"/>
        <v/>
      </c>
      <c r="D145" s="4"/>
    </row>
    <row r="146" spans="1:4" x14ac:dyDescent="0.25">
      <c r="A146" s="7"/>
      <c r="B146" s="10"/>
      <c r="C146" s="4" t="str">
        <f t="shared" si="2"/>
        <v/>
      </c>
      <c r="D146" s="4"/>
    </row>
    <row r="147" spans="1:4" x14ac:dyDescent="0.25">
      <c r="A147" s="7"/>
      <c r="B147" s="10"/>
      <c r="C147" s="4" t="str">
        <f t="shared" si="2"/>
        <v/>
      </c>
      <c r="D147" s="4"/>
    </row>
    <row r="148" spans="1:4" x14ac:dyDescent="0.25">
      <c r="A148" s="7"/>
      <c r="B148" s="10"/>
      <c r="C148" s="4" t="str">
        <f t="shared" si="2"/>
        <v/>
      </c>
      <c r="D148" s="4"/>
    </row>
    <row r="149" spans="1:4" x14ac:dyDescent="0.25">
      <c r="A149" s="7"/>
      <c r="B149" s="10"/>
      <c r="C149" s="4" t="str">
        <f t="shared" si="2"/>
        <v/>
      </c>
      <c r="D149" s="4"/>
    </row>
    <row r="150" spans="1:4" x14ac:dyDescent="0.25">
      <c r="A150" s="7"/>
      <c r="B150" s="10"/>
      <c r="C150" s="4" t="str">
        <f t="shared" si="2"/>
        <v/>
      </c>
      <c r="D150" s="4"/>
    </row>
    <row r="151" spans="1:4" x14ac:dyDescent="0.25">
      <c r="A151" s="7"/>
      <c r="B151" s="10"/>
      <c r="C151" s="4" t="str">
        <f t="shared" si="2"/>
        <v/>
      </c>
      <c r="D151" s="4"/>
    </row>
    <row r="152" spans="1:4" x14ac:dyDescent="0.25">
      <c r="A152" s="7"/>
      <c r="B152" s="10"/>
      <c r="C152" s="4" t="str">
        <f t="shared" si="2"/>
        <v/>
      </c>
      <c r="D152" s="4"/>
    </row>
    <row r="153" spans="1:4" x14ac:dyDescent="0.25">
      <c r="A153" s="7"/>
      <c r="B153" s="10"/>
      <c r="C153" s="4" t="str">
        <f t="shared" si="2"/>
        <v/>
      </c>
      <c r="D153" s="4"/>
    </row>
    <row r="154" spans="1:4" x14ac:dyDescent="0.25">
      <c r="A154" s="7"/>
      <c r="B154" s="10"/>
      <c r="C154" s="4" t="str">
        <f t="shared" si="2"/>
        <v/>
      </c>
      <c r="D154" s="4"/>
    </row>
    <row r="155" spans="1:4" x14ac:dyDescent="0.25">
      <c r="A155" s="7"/>
      <c r="B155" s="10"/>
      <c r="C155" s="4" t="str">
        <f t="shared" si="2"/>
        <v/>
      </c>
      <c r="D155" s="4"/>
    </row>
    <row r="156" spans="1:4" x14ac:dyDescent="0.25">
      <c r="A156" s="7"/>
      <c r="B156" s="10"/>
      <c r="C156" s="4" t="str">
        <f t="shared" si="2"/>
        <v/>
      </c>
      <c r="D156" s="4"/>
    </row>
    <row r="157" spans="1:4" x14ac:dyDescent="0.25">
      <c r="A157" s="7"/>
      <c r="B157" s="10"/>
      <c r="C157" s="4" t="str">
        <f t="shared" si="2"/>
        <v/>
      </c>
      <c r="D157" s="4"/>
    </row>
    <row r="158" spans="1:4" x14ac:dyDescent="0.25">
      <c r="A158" s="7"/>
      <c r="B158" s="10"/>
      <c r="C158" s="4" t="str">
        <f t="shared" si="2"/>
        <v/>
      </c>
      <c r="D158" s="4"/>
    </row>
    <row r="159" spans="1:4" x14ac:dyDescent="0.25">
      <c r="A159" s="7"/>
      <c r="B159" s="10"/>
      <c r="C159" s="4" t="str">
        <f t="shared" si="2"/>
        <v/>
      </c>
      <c r="D159" s="4"/>
    </row>
    <row r="160" spans="1:4" x14ac:dyDescent="0.25">
      <c r="A160" s="7"/>
      <c r="B160" s="10"/>
      <c r="C160" s="4" t="str">
        <f t="shared" si="2"/>
        <v/>
      </c>
      <c r="D160" s="4"/>
    </row>
    <row r="161" spans="1:4" x14ac:dyDescent="0.25">
      <c r="A161" s="7"/>
      <c r="B161" s="10"/>
      <c r="C161" s="4" t="str">
        <f t="shared" si="2"/>
        <v/>
      </c>
      <c r="D161" s="4"/>
    </row>
    <row r="162" spans="1:4" x14ac:dyDescent="0.25">
      <c r="A162" s="7"/>
      <c r="B162" s="10"/>
      <c r="C162" s="4" t="str">
        <f t="shared" si="2"/>
        <v/>
      </c>
      <c r="D162" s="4"/>
    </row>
    <row r="163" spans="1:4" x14ac:dyDescent="0.25">
      <c r="A163" s="7"/>
      <c r="B163" s="10"/>
      <c r="C163" s="4" t="str">
        <f t="shared" si="2"/>
        <v/>
      </c>
      <c r="D163" s="4"/>
    </row>
    <row r="164" spans="1:4" x14ac:dyDescent="0.25">
      <c r="A164" s="7"/>
      <c r="B164" s="10"/>
      <c r="C164" s="4" t="str">
        <f t="shared" si="2"/>
        <v/>
      </c>
      <c r="D164" s="4"/>
    </row>
    <row r="165" spans="1:4" x14ac:dyDescent="0.25">
      <c r="A165" s="7"/>
      <c r="B165" s="10"/>
      <c r="C165" s="4" t="str">
        <f t="shared" si="2"/>
        <v/>
      </c>
      <c r="D165" s="4"/>
    </row>
    <row r="166" spans="1:4" x14ac:dyDescent="0.25">
      <c r="A166" s="7"/>
      <c r="B166" s="10"/>
      <c r="C166" s="4" t="str">
        <f t="shared" si="2"/>
        <v/>
      </c>
      <c r="D166" s="4"/>
    </row>
    <row r="167" spans="1:4" x14ac:dyDescent="0.25">
      <c r="A167" s="7"/>
      <c r="B167" s="10"/>
      <c r="C167" s="4" t="str">
        <f t="shared" si="2"/>
        <v/>
      </c>
      <c r="D167" s="4"/>
    </row>
    <row r="168" spans="1:4" x14ac:dyDescent="0.25">
      <c r="A168" s="7"/>
      <c r="B168" s="10"/>
      <c r="C168" s="4" t="str">
        <f t="shared" si="2"/>
        <v/>
      </c>
      <c r="D168" s="4"/>
    </row>
    <row r="169" spans="1:4" x14ac:dyDescent="0.25">
      <c r="A169" s="7"/>
      <c r="B169" s="10"/>
      <c r="C169" s="4" t="str">
        <f t="shared" si="2"/>
        <v/>
      </c>
      <c r="D169" s="4"/>
    </row>
    <row r="170" spans="1:4" x14ac:dyDescent="0.25">
      <c r="A170" s="7"/>
      <c r="B170" s="10"/>
      <c r="C170" s="4" t="str">
        <f t="shared" si="2"/>
        <v/>
      </c>
      <c r="D170" s="4"/>
    </row>
    <row r="171" spans="1:4" x14ac:dyDescent="0.25">
      <c r="A171" s="7"/>
      <c r="B171" s="10"/>
      <c r="C171" s="4" t="str">
        <f t="shared" si="2"/>
        <v/>
      </c>
      <c r="D171" s="4"/>
    </row>
    <row r="172" spans="1:4" x14ac:dyDescent="0.25">
      <c r="A172" s="7"/>
      <c r="B172" s="10"/>
      <c r="C172" s="4" t="str">
        <f t="shared" si="2"/>
        <v/>
      </c>
      <c r="D172" s="4"/>
    </row>
    <row r="173" spans="1:4" x14ac:dyDescent="0.25">
      <c r="A173" s="7"/>
      <c r="B173" s="10"/>
      <c r="C173" s="4" t="str">
        <f t="shared" si="2"/>
        <v/>
      </c>
      <c r="D173" s="4"/>
    </row>
    <row r="174" spans="1:4" x14ac:dyDescent="0.25">
      <c r="A174" s="7"/>
      <c r="B174" s="10"/>
      <c r="C174" s="4" t="str">
        <f t="shared" si="2"/>
        <v/>
      </c>
      <c r="D174" s="4"/>
    </row>
    <row r="175" spans="1:4" x14ac:dyDescent="0.25">
      <c r="A175" s="7"/>
      <c r="B175" s="10"/>
      <c r="C175" s="4" t="str">
        <f t="shared" si="2"/>
        <v/>
      </c>
      <c r="D175" s="4"/>
    </row>
    <row r="176" spans="1:4" x14ac:dyDescent="0.25">
      <c r="A176" s="7"/>
      <c r="B176" s="10"/>
      <c r="C176" s="4" t="str">
        <f t="shared" si="2"/>
        <v/>
      </c>
      <c r="D176" s="4"/>
    </row>
    <row r="177" spans="1:4" x14ac:dyDescent="0.25">
      <c r="A177" s="7"/>
      <c r="B177" s="10"/>
      <c r="C177" s="4" t="str">
        <f t="shared" si="2"/>
        <v/>
      </c>
      <c r="D177" s="4"/>
    </row>
    <row r="178" spans="1:4" x14ac:dyDescent="0.25">
      <c r="A178" s="7"/>
      <c r="B178" s="10"/>
      <c r="C178" s="4" t="str">
        <f t="shared" si="2"/>
        <v/>
      </c>
      <c r="D178" s="4"/>
    </row>
    <row r="179" spans="1:4" x14ac:dyDescent="0.25">
      <c r="A179" s="7"/>
      <c r="B179" s="10"/>
      <c r="C179" s="4" t="str">
        <f t="shared" si="2"/>
        <v/>
      </c>
      <c r="D179" s="4"/>
    </row>
    <row r="180" spans="1:4" x14ac:dyDescent="0.25">
      <c r="A180" s="7"/>
      <c r="B180" s="10"/>
      <c r="C180" s="4" t="str">
        <f t="shared" si="2"/>
        <v/>
      </c>
      <c r="D180" s="4"/>
    </row>
    <row r="181" spans="1:4" x14ac:dyDescent="0.25">
      <c r="A181" s="7"/>
      <c r="B181" s="10"/>
      <c r="C181" s="4" t="str">
        <f t="shared" si="2"/>
        <v/>
      </c>
      <c r="D181" s="4"/>
    </row>
    <row r="182" spans="1:4" x14ac:dyDescent="0.25">
      <c r="A182" s="7"/>
      <c r="B182" s="10"/>
      <c r="C182" s="4" t="str">
        <f t="shared" si="2"/>
        <v/>
      </c>
      <c r="D182" s="4"/>
    </row>
    <row r="183" spans="1:4" x14ac:dyDescent="0.25">
      <c r="A183" s="7"/>
      <c r="B183" s="10"/>
      <c r="C183" s="4" t="str">
        <f t="shared" si="2"/>
        <v/>
      </c>
      <c r="D183" s="4"/>
    </row>
    <row r="184" spans="1:4" x14ac:dyDescent="0.25">
      <c r="A184" s="7"/>
      <c r="B184" s="10"/>
      <c r="C184" s="4" t="str">
        <f t="shared" si="2"/>
        <v/>
      </c>
      <c r="D184" s="4"/>
    </row>
    <row r="185" spans="1:4" x14ac:dyDescent="0.25">
      <c r="A185" s="7"/>
      <c r="B185" s="10"/>
      <c r="C185" s="4" t="str">
        <f t="shared" si="2"/>
        <v/>
      </c>
      <c r="D185" s="4"/>
    </row>
    <row r="186" spans="1:4" x14ac:dyDescent="0.25">
      <c r="A186" s="7"/>
      <c r="B186" s="10"/>
      <c r="C186" s="4" t="str">
        <f t="shared" si="2"/>
        <v/>
      </c>
      <c r="D186" s="4"/>
    </row>
    <row r="187" spans="1:4" x14ac:dyDescent="0.25">
      <c r="A187" s="7"/>
      <c r="B187" s="10"/>
      <c r="C187" s="4" t="str">
        <f t="shared" si="2"/>
        <v/>
      </c>
      <c r="D187" s="4"/>
    </row>
    <row r="188" spans="1:4" x14ac:dyDescent="0.25">
      <c r="A188" s="7"/>
      <c r="B188" s="10"/>
      <c r="C188" s="4" t="str">
        <f t="shared" si="2"/>
        <v/>
      </c>
      <c r="D188" s="4"/>
    </row>
    <row r="189" spans="1:4" x14ac:dyDescent="0.25">
      <c r="A189" s="7"/>
      <c r="B189" s="10"/>
      <c r="C189" s="4" t="str">
        <f t="shared" si="2"/>
        <v/>
      </c>
      <c r="D189" s="4"/>
    </row>
    <row r="190" spans="1:4" x14ac:dyDescent="0.25">
      <c r="A190" s="7"/>
      <c r="B190" s="10"/>
      <c r="C190" s="4" t="str">
        <f t="shared" si="2"/>
        <v/>
      </c>
      <c r="D190" s="4"/>
    </row>
    <row r="191" spans="1:4" x14ac:dyDescent="0.25">
      <c r="A191" s="7"/>
      <c r="B191" s="10"/>
      <c r="C191" s="4" t="str">
        <f t="shared" si="2"/>
        <v/>
      </c>
      <c r="D191" s="4"/>
    </row>
    <row r="192" spans="1:4" x14ac:dyDescent="0.25">
      <c r="A192" s="7"/>
      <c r="B192" s="10"/>
      <c r="C192" s="4" t="str">
        <f t="shared" si="2"/>
        <v/>
      </c>
      <c r="D192" s="4"/>
    </row>
    <row r="193" spans="1:4" x14ac:dyDescent="0.25">
      <c r="A193" s="7"/>
      <c r="B193" s="10"/>
      <c r="C193" s="4" t="str">
        <f t="shared" si="2"/>
        <v/>
      </c>
      <c r="D193" s="4"/>
    </row>
    <row r="194" spans="1:4" x14ac:dyDescent="0.25">
      <c r="A194" s="7"/>
      <c r="B194" s="10"/>
      <c r="C194" s="4" t="str">
        <f t="shared" si="2"/>
        <v/>
      </c>
      <c r="D194" s="4"/>
    </row>
    <row r="195" spans="1:4" x14ac:dyDescent="0.25">
      <c r="A195" s="7"/>
      <c r="B195" s="10"/>
      <c r="C195" s="4" t="str">
        <f t="shared" si="2"/>
        <v/>
      </c>
      <c r="D195" s="4"/>
    </row>
    <row r="196" spans="1:4" x14ac:dyDescent="0.25">
      <c r="A196" s="7"/>
      <c r="B196" s="10"/>
      <c r="C196" s="4" t="str">
        <f t="shared" si="2"/>
        <v/>
      </c>
      <c r="D196" s="4"/>
    </row>
    <row r="197" spans="1:4" x14ac:dyDescent="0.25">
      <c r="A197" s="7"/>
      <c r="B197" s="10"/>
      <c r="C197" s="4" t="str">
        <f t="shared" ref="C197:C260" si="3">IF(B197="","",HOUR(B197)*2+IF(MINUTE(B197)&gt;=30,1,0))</f>
        <v/>
      </c>
      <c r="D197" s="4"/>
    </row>
    <row r="198" spans="1:4" x14ac:dyDescent="0.25">
      <c r="A198" s="7"/>
      <c r="B198" s="10"/>
      <c r="C198" s="4" t="str">
        <f t="shared" si="3"/>
        <v/>
      </c>
      <c r="D198" s="4"/>
    </row>
    <row r="199" spans="1:4" x14ac:dyDescent="0.25">
      <c r="A199" s="7"/>
      <c r="B199" s="10"/>
      <c r="C199" s="4" t="str">
        <f t="shared" si="3"/>
        <v/>
      </c>
      <c r="D199" s="4"/>
    </row>
    <row r="200" spans="1:4" x14ac:dyDescent="0.25">
      <c r="A200" s="7"/>
      <c r="B200" s="10"/>
      <c r="C200" s="4" t="str">
        <f t="shared" si="3"/>
        <v/>
      </c>
      <c r="D200" s="4"/>
    </row>
    <row r="201" spans="1:4" x14ac:dyDescent="0.25">
      <c r="A201" s="7"/>
      <c r="B201" s="10"/>
      <c r="C201" s="4" t="str">
        <f t="shared" si="3"/>
        <v/>
      </c>
      <c r="D201" s="4"/>
    </row>
    <row r="202" spans="1:4" x14ac:dyDescent="0.25">
      <c r="A202" s="7"/>
      <c r="B202" s="10"/>
      <c r="C202" s="4" t="str">
        <f t="shared" si="3"/>
        <v/>
      </c>
      <c r="D202" s="4"/>
    </row>
    <row r="203" spans="1:4" x14ac:dyDescent="0.25">
      <c r="A203" s="7"/>
      <c r="B203" s="10"/>
      <c r="C203" s="4" t="str">
        <f t="shared" si="3"/>
        <v/>
      </c>
      <c r="D203" s="4"/>
    </row>
    <row r="204" spans="1:4" x14ac:dyDescent="0.25">
      <c r="A204" s="7"/>
      <c r="B204" s="10"/>
      <c r="C204" s="4" t="str">
        <f t="shared" si="3"/>
        <v/>
      </c>
      <c r="D204" s="4"/>
    </row>
    <row r="205" spans="1:4" x14ac:dyDescent="0.25">
      <c r="A205" s="7"/>
      <c r="B205" s="10"/>
      <c r="C205" s="4" t="str">
        <f t="shared" si="3"/>
        <v/>
      </c>
      <c r="D205" s="4"/>
    </row>
    <row r="206" spans="1:4" x14ac:dyDescent="0.25">
      <c r="A206" s="7"/>
      <c r="B206" s="10"/>
      <c r="C206" s="4" t="str">
        <f t="shared" si="3"/>
        <v/>
      </c>
      <c r="D206" s="4"/>
    </row>
    <row r="207" spans="1:4" x14ac:dyDescent="0.25">
      <c r="A207" s="7"/>
      <c r="B207" s="10"/>
      <c r="C207" s="4" t="str">
        <f t="shared" si="3"/>
        <v/>
      </c>
      <c r="D207" s="4"/>
    </row>
    <row r="208" spans="1:4" x14ac:dyDescent="0.25">
      <c r="A208" s="7"/>
      <c r="B208" s="10"/>
      <c r="C208" s="4" t="str">
        <f t="shared" si="3"/>
        <v/>
      </c>
      <c r="D208" s="4"/>
    </row>
    <row r="209" spans="1:4" x14ac:dyDescent="0.25">
      <c r="A209" s="7"/>
      <c r="B209" s="10"/>
      <c r="C209" s="4" t="str">
        <f t="shared" si="3"/>
        <v/>
      </c>
      <c r="D209" s="4"/>
    </row>
    <row r="210" spans="1:4" x14ac:dyDescent="0.25">
      <c r="A210" s="7"/>
      <c r="B210" s="10"/>
      <c r="C210" s="4" t="str">
        <f t="shared" si="3"/>
        <v/>
      </c>
      <c r="D210" s="4"/>
    </row>
    <row r="211" spans="1:4" x14ac:dyDescent="0.25">
      <c r="A211" s="7"/>
      <c r="B211" s="10"/>
      <c r="C211" s="4" t="str">
        <f t="shared" si="3"/>
        <v/>
      </c>
      <c r="D211" s="4"/>
    </row>
    <row r="212" spans="1:4" x14ac:dyDescent="0.25">
      <c r="A212" s="7"/>
      <c r="B212" s="10"/>
      <c r="C212" s="4" t="str">
        <f t="shared" si="3"/>
        <v/>
      </c>
      <c r="D212" s="4"/>
    </row>
    <row r="213" spans="1:4" x14ac:dyDescent="0.25">
      <c r="A213" s="7"/>
      <c r="B213" s="10"/>
      <c r="C213" s="4" t="str">
        <f t="shared" si="3"/>
        <v/>
      </c>
      <c r="D213" s="4"/>
    </row>
    <row r="214" spans="1:4" x14ac:dyDescent="0.25">
      <c r="A214" s="7"/>
      <c r="B214" s="10"/>
      <c r="C214" s="4" t="str">
        <f t="shared" si="3"/>
        <v/>
      </c>
      <c r="D214" s="4"/>
    </row>
    <row r="215" spans="1:4" x14ac:dyDescent="0.25">
      <c r="A215" s="7"/>
      <c r="B215" s="10"/>
      <c r="C215" s="4" t="str">
        <f t="shared" si="3"/>
        <v/>
      </c>
      <c r="D215" s="4"/>
    </row>
    <row r="216" spans="1:4" x14ac:dyDescent="0.25">
      <c r="A216" s="7"/>
      <c r="B216" s="10"/>
      <c r="C216" s="4" t="str">
        <f t="shared" si="3"/>
        <v/>
      </c>
      <c r="D216" s="4"/>
    </row>
    <row r="217" spans="1:4" x14ac:dyDescent="0.25">
      <c r="A217" s="7"/>
      <c r="B217" s="10"/>
      <c r="C217" s="4" t="str">
        <f t="shared" si="3"/>
        <v/>
      </c>
      <c r="D217" s="4"/>
    </row>
    <row r="218" spans="1:4" x14ac:dyDescent="0.25">
      <c r="A218" s="7"/>
      <c r="B218" s="10"/>
      <c r="C218" s="4" t="str">
        <f t="shared" si="3"/>
        <v/>
      </c>
      <c r="D218" s="4"/>
    </row>
    <row r="219" spans="1:4" x14ac:dyDescent="0.25">
      <c r="A219" s="7"/>
      <c r="B219" s="10"/>
      <c r="C219" s="4" t="str">
        <f t="shared" si="3"/>
        <v/>
      </c>
      <c r="D219" s="4"/>
    </row>
    <row r="220" spans="1:4" x14ac:dyDescent="0.25">
      <c r="A220" s="7"/>
      <c r="B220" s="10"/>
      <c r="C220" s="4" t="str">
        <f t="shared" si="3"/>
        <v/>
      </c>
      <c r="D220" s="4"/>
    </row>
    <row r="221" spans="1:4" x14ac:dyDescent="0.25">
      <c r="A221" s="7"/>
      <c r="B221" s="10"/>
      <c r="C221" s="4" t="str">
        <f t="shared" si="3"/>
        <v/>
      </c>
      <c r="D221" s="4"/>
    </row>
    <row r="222" spans="1:4" x14ac:dyDescent="0.25">
      <c r="A222" s="7"/>
      <c r="B222" s="10"/>
      <c r="C222" s="4" t="str">
        <f t="shared" si="3"/>
        <v/>
      </c>
      <c r="D222" s="4"/>
    </row>
    <row r="223" spans="1:4" x14ac:dyDescent="0.25">
      <c r="A223" s="7"/>
      <c r="B223" s="10"/>
      <c r="C223" s="4" t="str">
        <f t="shared" si="3"/>
        <v/>
      </c>
      <c r="D223" s="4"/>
    </row>
    <row r="224" spans="1:4" x14ac:dyDescent="0.25">
      <c r="A224" s="7"/>
      <c r="B224" s="10"/>
      <c r="C224" s="4" t="str">
        <f t="shared" si="3"/>
        <v/>
      </c>
      <c r="D224" s="4"/>
    </row>
    <row r="225" spans="1:4" x14ac:dyDescent="0.25">
      <c r="A225" s="7"/>
      <c r="B225" s="10"/>
      <c r="C225" s="4" t="str">
        <f t="shared" si="3"/>
        <v/>
      </c>
      <c r="D225" s="4"/>
    </row>
    <row r="226" spans="1:4" x14ac:dyDescent="0.25">
      <c r="A226" s="7"/>
      <c r="B226" s="10"/>
      <c r="C226" s="4" t="str">
        <f t="shared" si="3"/>
        <v/>
      </c>
      <c r="D226" s="4"/>
    </row>
    <row r="227" spans="1:4" x14ac:dyDescent="0.25">
      <c r="A227" s="7"/>
      <c r="B227" s="10"/>
      <c r="C227" s="4" t="str">
        <f t="shared" si="3"/>
        <v/>
      </c>
      <c r="D227" s="4"/>
    </row>
    <row r="228" spans="1:4" x14ac:dyDescent="0.25">
      <c r="A228" s="7"/>
      <c r="B228" s="10"/>
      <c r="C228" s="4" t="str">
        <f t="shared" si="3"/>
        <v/>
      </c>
      <c r="D228" s="4"/>
    </row>
    <row r="229" spans="1:4" x14ac:dyDescent="0.25">
      <c r="A229" s="7"/>
      <c r="B229" s="10"/>
      <c r="C229" s="4" t="str">
        <f t="shared" si="3"/>
        <v/>
      </c>
      <c r="D229" s="4"/>
    </row>
    <row r="230" spans="1:4" x14ac:dyDescent="0.25">
      <c r="A230" s="7"/>
      <c r="B230" s="10"/>
      <c r="C230" s="4" t="str">
        <f t="shared" si="3"/>
        <v/>
      </c>
      <c r="D230" s="4"/>
    </row>
    <row r="231" spans="1:4" x14ac:dyDescent="0.25">
      <c r="A231" s="7"/>
      <c r="B231" s="10"/>
      <c r="C231" s="4" t="str">
        <f t="shared" si="3"/>
        <v/>
      </c>
      <c r="D231" s="4"/>
    </row>
    <row r="232" spans="1:4" x14ac:dyDescent="0.25">
      <c r="A232" s="7"/>
      <c r="B232" s="10"/>
      <c r="C232" s="4" t="str">
        <f t="shared" si="3"/>
        <v/>
      </c>
      <c r="D232" s="4"/>
    </row>
    <row r="233" spans="1:4" x14ac:dyDescent="0.25">
      <c r="A233" s="7"/>
      <c r="B233" s="10"/>
      <c r="C233" s="4" t="str">
        <f t="shared" si="3"/>
        <v/>
      </c>
      <c r="D233" s="4"/>
    </row>
    <row r="234" spans="1:4" x14ac:dyDescent="0.25">
      <c r="A234" s="7"/>
      <c r="B234" s="10"/>
      <c r="C234" s="4" t="str">
        <f t="shared" si="3"/>
        <v/>
      </c>
      <c r="D234" s="4"/>
    </row>
    <row r="235" spans="1:4" x14ac:dyDescent="0.25">
      <c r="A235" s="7"/>
      <c r="B235" s="10"/>
      <c r="C235" s="4" t="str">
        <f t="shared" si="3"/>
        <v/>
      </c>
      <c r="D235" s="4"/>
    </row>
    <row r="236" spans="1:4" x14ac:dyDescent="0.25">
      <c r="A236" s="7"/>
      <c r="B236" s="10"/>
      <c r="C236" s="4" t="str">
        <f t="shared" si="3"/>
        <v/>
      </c>
      <c r="D236" s="4"/>
    </row>
    <row r="237" spans="1:4" x14ac:dyDescent="0.25">
      <c r="A237" s="7"/>
      <c r="B237" s="10"/>
      <c r="C237" s="4" t="str">
        <f t="shared" si="3"/>
        <v/>
      </c>
      <c r="D237" s="4"/>
    </row>
    <row r="238" spans="1:4" x14ac:dyDescent="0.25">
      <c r="A238" s="7"/>
      <c r="B238" s="10"/>
      <c r="C238" s="4" t="str">
        <f t="shared" si="3"/>
        <v/>
      </c>
      <c r="D238" s="4"/>
    </row>
    <row r="239" spans="1:4" x14ac:dyDescent="0.25">
      <c r="A239" s="7"/>
      <c r="B239" s="10"/>
      <c r="C239" s="4" t="str">
        <f t="shared" si="3"/>
        <v/>
      </c>
      <c r="D239" s="4"/>
    </row>
    <row r="240" spans="1:4" x14ac:dyDescent="0.25">
      <c r="A240" s="7"/>
      <c r="B240" s="10"/>
      <c r="C240" s="4" t="str">
        <f t="shared" si="3"/>
        <v/>
      </c>
      <c r="D240" s="4"/>
    </row>
    <row r="241" spans="1:4" x14ac:dyDescent="0.25">
      <c r="A241" s="7"/>
      <c r="B241" s="10"/>
      <c r="C241" s="4" t="str">
        <f t="shared" si="3"/>
        <v/>
      </c>
      <c r="D241" s="4"/>
    </row>
    <row r="242" spans="1:4" x14ac:dyDescent="0.25">
      <c r="A242" s="7"/>
      <c r="B242" s="10"/>
      <c r="C242" s="4" t="str">
        <f t="shared" si="3"/>
        <v/>
      </c>
      <c r="D242" s="4"/>
    </row>
    <row r="243" spans="1:4" x14ac:dyDescent="0.25">
      <c r="A243" s="7"/>
      <c r="B243" s="10"/>
      <c r="C243" s="4" t="str">
        <f t="shared" si="3"/>
        <v/>
      </c>
      <c r="D243" s="4"/>
    </row>
    <row r="244" spans="1:4" x14ac:dyDescent="0.25">
      <c r="A244" s="7"/>
      <c r="B244" s="10"/>
      <c r="C244" s="4" t="str">
        <f t="shared" si="3"/>
        <v/>
      </c>
      <c r="D244" s="4"/>
    </row>
    <row r="245" spans="1:4" x14ac:dyDescent="0.25">
      <c r="A245" s="7"/>
      <c r="B245" s="10"/>
      <c r="C245" s="4" t="str">
        <f t="shared" si="3"/>
        <v/>
      </c>
      <c r="D245" s="4"/>
    </row>
    <row r="246" spans="1:4" x14ac:dyDescent="0.25">
      <c r="A246" s="7"/>
      <c r="B246" s="10"/>
      <c r="C246" s="4" t="str">
        <f t="shared" si="3"/>
        <v/>
      </c>
      <c r="D246" s="4"/>
    </row>
    <row r="247" spans="1:4" x14ac:dyDescent="0.25">
      <c r="A247" s="7"/>
      <c r="B247" s="10"/>
      <c r="C247" s="4" t="str">
        <f t="shared" si="3"/>
        <v/>
      </c>
      <c r="D247" s="4"/>
    </row>
    <row r="248" spans="1:4" x14ac:dyDescent="0.25">
      <c r="A248" s="7"/>
      <c r="B248" s="10"/>
      <c r="C248" s="4" t="str">
        <f t="shared" si="3"/>
        <v/>
      </c>
      <c r="D248" s="4"/>
    </row>
    <row r="249" spans="1:4" x14ac:dyDescent="0.25">
      <c r="A249" s="7"/>
      <c r="B249" s="10"/>
      <c r="C249" s="4" t="str">
        <f t="shared" si="3"/>
        <v/>
      </c>
      <c r="D249" s="4"/>
    </row>
    <row r="250" spans="1:4" x14ac:dyDescent="0.25">
      <c r="A250" s="7"/>
      <c r="B250" s="10"/>
      <c r="C250" s="4" t="str">
        <f t="shared" si="3"/>
        <v/>
      </c>
      <c r="D250" s="4"/>
    </row>
    <row r="251" spans="1:4" x14ac:dyDescent="0.25">
      <c r="A251" s="7"/>
      <c r="B251" s="10"/>
      <c r="C251" s="4" t="str">
        <f t="shared" si="3"/>
        <v/>
      </c>
      <c r="D251" s="4"/>
    </row>
    <row r="252" spans="1:4" x14ac:dyDescent="0.25">
      <c r="A252" s="7"/>
      <c r="B252" s="10"/>
      <c r="C252" s="4" t="str">
        <f t="shared" si="3"/>
        <v/>
      </c>
      <c r="D252" s="4"/>
    </row>
    <row r="253" spans="1:4" x14ac:dyDescent="0.25">
      <c r="A253" s="7"/>
      <c r="B253" s="10"/>
      <c r="C253" s="4" t="str">
        <f t="shared" si="3"/>
        <v/>
      </c>
      <c r="D253" s="4"/>
    </row>
    <row r="254" spans="1:4" x14ac:dyDescent="0.25">
      <c r="A254" s="7"/>
      <c r="B254" s="10"/>
      <c r="C254" s="4" t="str">
        <f t="shared" si="3"/>
        <v/>
      </c>
      <c r="D254" s="4"/>
    </row>
    <row r="255" spans="1:4" x14ac:dyDescent="0.25">
      <c r="A255" s="7"/>
      <c r="B255" s="10"/>
      <c r="C255" s="4" t="str">
        <f t="shared" si="3"/>
        <v/>
      </c>
      <c r="D255" s="4"/>
    </row>
    <row r="256" spans="1:4" x14ac:dyDescent="0.25">
      <c r="A256" s="7"/>
      <c r="B256" s="10"/>
      <c r="C256" s="4" t="str">
        <f t="shared" si="3"/>
        <v/>
      </c>
      <c r="D256" s="4"/>
    </row>
    <row r="257" spans="1:4" x14ac:dyDescent="0.25">
      <c r="A257" s="7"/>
      <c r="B257" s="10"/>
      <c r="C257" s="4" t="str">
        <f t="shared" si="3"/>
        <v/>
      </c>
      <c r="D257" s="4"/>
    </row>
    <row r="258" spans="1:4" x14ac:dyDescent="0.25">
      <c r="A258" s="7"/>
      <c r="B258" s="10"/>
      <c r="C258" s="4" t="str">
        <f t="shared" si="3"/>
        <v/>
      </c>
      <c r="D258" s="4"/>
    </row>
    <row r="259" spans="1:4" x14ac:dyDescent="0.25">
      <c r="A259" s="7"/>
      <c r="B259" s="10"/>
      <c r="C259" s="4" t="str">
        <f t="shared" si="3"/>
        <v/>
      </c>
      <c r="D259" s="4"/>
    </row>
    <row r="260" spans="1:4" x14ac:dyDescent="0.25">
      <c r="A260" s="7"/>
      <c r="B260" s="10"/>
      <c r="C260" s="4" t="str">
        <f t="shared" si="3"/>
        <v/>
      </c>
      <c r="D260" s="4"/>
    </row>
    <row r="261" spans="1:4" x14ac:dyDescent="0.25">
      <c r="A261" s="7"/>
      <c r="B261" s="10"/>
      <c r="C261" s="4" t="str">
        <f t="shared" ref="C261:C324" si="4">IF(B261="","",HOUR(B261)*2+IF(MINUTE(B261)&gt;=30,1,0))</f>
        <v/>
      </c>
      <c r="D261" s="4"/>
    </row>
    <row r="262" spans="1:4" x14ac:dyDescent="0.25">
      <c r="A262" s="7"/>
      <c r="B262" s="10"/>
      <c r="C262" s="4" t="str">
        <f t="shared" si="4"/>
        <v/>
      </c>
      <c r="D262" s="4"/>
    </row>
    <row r="263" spans="1:4" x14ac:dyDescent="0.25">
      <c r="A263" s="7"/>
      <c r="B263" s="10"/>
      <c r="C263" s="4" t="str">
        <f t="shared" si="4"/>
        <v/>
      </c>
      <c r="D263" s="4"/>
    </row>
    <row r="264" spans="1:4" x14ac:dyDescent="0.25">
      <c r="A264" s="7"/>
      <c r="B264" s="10"/>
      <c r="C264" s="4" t="str">
        <f t="shared" si="4"/>
        <v/>
      </c>
      <c r="D264" s="4"/>
    </row>
    <row r="265" spans="1:4" x14ac:dyDescent="0.25">
      <c r="A265" s="7"/>
      <c r="B265" s="10"/>
      <c r="C265" s="4" t="str">
        <f t="shared" si="4"/>
        <v/>
      </c>
      <c r="D265" s="4"/>
    </row>
    <row r="266" spans="1:4" x14ac:dyDescent="0.25">
      <c r="A266" s="7"/>
      <c r="B266" s="10"/>
      <c r="C266" s="4" t="str">
        <f t="shared" si="4"/>
        <v/>
      </c>
      <c r="D266" s="4"/>
    </row>
    <row r="267" spans="1:4" x14ac:dyDescent="0.25">
      <c r="A267" s="7"/>
      <c r="B267" s="10"/>
      <c r="C267" s="4" t="str">
        <f t="shared" si="4"/>
        <v/>
      </c>
      <c r="D267" s="4"/>
    </row>
    <row r="268" spans="1:4" x14ac:dyDescent="0.25">
      <c r="A268" s="7"/>
      <c r="B268" s="10"/>
      <c r="C268" s="4" t="str">
        <f t="shared" si="4"/>
        <v/>
      </c>
      <c r="D268" s="4"/>
    </row>
    <row r="269" spans="1:4" x14ac:dyDescent="0.25">
      <c r="A269" s="7"/>
      <c r="B269" s="10"/>
      <c r="C269" s="4" t="str">
        <f t="shared" si="4"/>
        <v/>
      </c>
      <c r="D269" s="4"/>
    </row>
    <row r="270" spans="1:4" x14ac:dyDescent="0.25">
      <c r="A270" s="7"/>
      <c r="B270" s="10"/>
      <c r="C270" s="4" t="str">
        <f t="shared" si="4"/>
        <v/>
      </c>
      <c r="D270" s="4"/>
    </row>
    <row r="271" spans="1:4" x14ac:dyDescent="0.25">
      <c r="A271" s="7"/>
      <c r="B271" s="10"/>
      <c r="C271" s="4" t="str">
        <f t="shared" si="4"/>
        <v/>
      </c>
      <c r="D271" s="4"/>
    </row>
    <row r="272" spans="1:4" x14ac:dyDescent="0.25">
      <c r="A272" s="7"/>
      <c r="B272" s="10"/>
      <c r="C272" s="4" t="str">
        <f t="shared" si="4"/>
        <v/>
      </c>
      <c r="D272" s="4"/>
    </row>
    <row r="273" spans="1:4" x14ac:dyDescent="0.25">
      <c r="A273" s="7"/>
      <c r="B273" s="10"/>
      <c r="C273" s="4" t="str">
        <f t="shared" si="4"/>
        <v/>
      </c>
      <c r="D273" s="4"/>
    </row>
    <row r="274" spans="1:4" x14ac:dyDescent="0.25">
      <c r="A274" s="7"/>
      <c r="B274" s="10"/>
      <c r="C274" s="4" t="str">
        <f t="shared" si="4"/>
        <v/>
      </c>
      <c r="D274" s="4"/>
    </row>
    <row r="275" spans="1:4" x14ac:dyDescent="0.25">
      <c r="A275" s="7"/>
      <c r="B275" s="10"/>
      <c r="C275" s="4" t="str">
        <f t="shared" si="4"/>
        <v/>
      </c>
      <c r="D275" s="4"/>
    </row>
    <row r="276" spans="1:4" x14ac:dyDescent="0.25">
      <c r="A276" s="7"/>
      <c r="B276" s="10"/>
      <c r="C276" s="4" t="str">
        <f t="shared" si="4"/>
        <v/>
      </c>
      <c r="D276" s="4"/>
    </row>
    <row r="277" spans="1:4" x14ac:dyDescent="0.25">
      <c r="A277" s="7"/>
      <c r="B277" s="10"/>
      <c r="C277" s="4" t="str">
        <f t="shared" si="4"/>
        <v/>
      </c>
      <c r="D277" s="4"/>
    </row>
    <row r="278" spans="1:4" x14ac:dyDescent="0.25">
      <c r="A278" s="7"/>
      <c r="B278" s="10"/>
      <c r="C278" s="4" t="str">
        <f t="shared" si="4"/>
        <v/>
      </c>
      <c r="D278" s="4"/>
    </row>
    <row r="279" spans="1:4" x14ac:dyDescent="0.25">
      <c r="A279" s="7"/>
      <c r="B279" s="10"/>
      <c r="C279" s="4" t="str">
        <f t="shared" si="4"/>
        <v/>
      </c>
      <c r="D279" s="4"/>
    </row>
    <row r="280" spans="1:4" x14ac:dyDescent="0.25">
      <c r="A280" s="7"/>
      <c r="B280" s="10"/>
      <c r="C280" s="4" t="str">
        <f t="shared" si="4"/>
        <v/>
      </c>
      <c r="D280" s="4"/>
    </row>
    <row r="281" spans="1:4" x14ac:dyDescent="0.25">
      <c r="A281" s="7"/>
      <c r="B281" s="10"/>
      <c r="C281" s="4" t="str">
        <f t="shared" si="4"/>
        <v/>
      </c>
      <c r="D281" s="4"/>
    </row>
    <row r="282" spans="1:4" x14ac:dyDescent="0.25">
      <c r="A282" s="7"/>
      <c r="B282" s="10"/>
      <c r="C282" s="4" t="str">
        <f t="shared" si="4"/>
        <v/>
      </c>
      <c r="D282" s="4"/>
    </row>
    <row r="283" spans="1:4" x14ac:dyDescent="0.25">
      <c r="A283" s="7"/>
      <c r="B283" s="10"/>
      <c r="C283" s="4" t="str">
        <f t="shared" si="4"/>
        <v/>
      </c>
      <c r="D283" s="4"/>
    </row>
    <row r="284" spans="1:4" x14ac:dyDescent="0.25">
      <c r="A284" s="7"/>
      <c r="B284" s="10"/>
      <c r="C284" s="4" t="str">
        <f t="shared" si="4"/>
        <v/>
      </c>
      <c r="D284" s="4"/>
    </row>
    <row r="285" spans="1:4" x14ac:dyDescent="0.25">
      <c r="A285" s="7"/>
      <c r="B285" s="10"/>
      <c r="C285" s="4" t="str">
        <f t="shared" si="4"/>
        <v/>
      </c>
      <c r="D285" s="4"/>
    </row>
    <row r="286" spans="1:4" x14ac:dyDescent="0.25">
      <c r="A286" s="7"/>
      <c r="B286" s="10"/>
      <c r="C286" s="4" t="str">
        <f t="shared" si="4"/>
        <v/>
      </c>
      <c r="D286" s="4"/>
    </row>
    <row r="287" spans="1:4" x14ac:dyDescent="0.25">
      <c r="A287" s="7"/>
      <c r="B287" s="10"/>
      <c r="C287" s="4" t="str">
        <f t="shared" si="4"/>
        <v/>
      </c>
      <c r="D287" s="4"/>
    </row>
    <row r="288" spans="1:4" x14ac:dyDescent="0.25">
      <c r="A288" s="7"/>
      <c r="B288" s="10"/>
      <c r="C288" s="4" t="str">
        <f t="shared" si="4"/>
        <v/>
      </c>
      <c r="D288" s="4"/>
    </row>
    <row r="289" spans="1:4" x14ac:dyDescent="0.25">
      <c r="A289" s="7"/>
      <c r="B289" s="10"/>
      <c r="C289" s="4" t="str">
        <f t="shared" si="4"/>
        <v/>
      </c>
      <c r="D289" s="4"/>
    </row>
    <row r="290" spans="1:4" x14ac:dyDescent="0.25">
      <c r="A290" s="7"/>
      <c r="B290" s="10"/>
      <c r="C290" s="4" t="str">
        <f t="shared" si="4"/>
        <v/>
      </c>
      <c r="D290" s="4"/>
    </row>
    <row r="291" spans="1:4" x14ac:dyDescent="0.25">
      <c r="A291" s="7"/>
      <c r="B291" s="10"/>
      <c r="C291" s="4" t="str">
        <f t="shared" si="4"/>
        <v/>
      </c>
      <c r="D291" s="4"/>
    </row>
    <row r="292" spans="1:4" x14ac:dyDescent="0.25">
      <c r="A292" s="7"/>
      <c r="B292" s="10"/>
      <c r="C292" s="4" t="str">
        <f t="shared" si="4"/>
        <v/>
      </c>
      <c r="D292" s="4"/>
    </row>
    <row r="293" spans="1:4" x14ac:dyDescent="0.25">
      <c r="A293" s="7"/>
      <c r="B293" s="10"/>
      <c r="C293" s="4" t="str">
        <f t="shared" si="4"/>
        <v/>
      </c>
      <c r="D293" s="4"/>
    </row>
    <row r="294" spans="1:4" x14ac:dyDescent="0.25">
      <c r="A294" s="7"/>
      <c r="B294" s="10"/>
      <c r="C294" s="4" t="str">
        <f t="shared" si="4"/>
        <v/>
      </c>
      <c r="D294" s="4"/>
    </row>
    <row r="295" spans="1:4" x14ac:dyDescent="0.25">
      <c r="A295" s="7"/>
      <c r="B295" s="10"/>
      <c r="C295" s="4" t="str">
        <f t="shared" si="4"/>
        <v/>
      </c>
      <c r="D295" s="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Instructions</vt:lpstr>
      <vt:lpstr>Heatmap Day x Time</vt:lpstr>
      <vt:lpstr>Daily Summary</vt:lpstr>
      <vt:lpstr>Time-of-Day Distribution</vt:lpstr>
      <vt:lpstr>Weekday x Time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Markus Schmidt</cp:lastModifiedBy>
  <cp:revision>0</cp:revision>
  <dcterms:created xsi:type="dcterms:W3CDTF">2026-05-11T13:20:53Z</dcterms:created>
  <dcterms:modified xsi:type="dcterms:W3CDTF">2026-05-11T13:33:10Z</dcterms:modified>
  <dc:language>en-US</dc:language>
</cp:coreProperties>
</file>